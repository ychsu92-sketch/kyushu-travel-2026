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行程表" sheetId="1" r:id="rId4"/>
    <sheet state="visible" name="費用" sheetId="2" r:id="rId5"/>
  </sheets>
  <definedNames/>
  <calcPr/>
  <extLst>
    <ext uri="GoogleSheetsCustomDataVersion2">
      <go:sheetsCustomData xmlns:go="http://customooxmlschemas.google.com/" r:id="rId6" roundtripDataChecksum="vnKPJhhGtXQIm8U2MJ4AE1ZLHHwtMv6Wc02Exxw3kKo="/>
    </ext>
  </extLst>
</workbook>
</file>

<file path=xl/sharedStrings.xml><?xml version="1.0" encoding="utf-8"?>
<sst xmlns="http://schemas.openxmlformats.org/spreadsheetml/2006/main" count="273" uniqueCount="246">
  <si>
    <t>🇯🇵 2026 家族南九州 7天6夜自駕深度探索之旅</t>
  </si>
  <si>
    <t>動線總覽：熊本 ➔ 阿蘇火山 ➔ 黑川溫泉 ➔ 高千穗峽谷 ➔ 宮崎日南海岸 ➔ 鹿兒島・櫻島 ➔ 霧島神宮 ➔ 人吉 ➔ 熊本</t>
  </si>
  <si>
    <t>📅 旅行天數與日期</t>
  </si>
  <si>
    <t>🚗 交通規劃配置</t>
  </si>
  <si>
    <t>🏨 住宿巡迴安排</t>
  </si>
  <si>
    <t>⚠️ 核心可行性提示</t>
  </si>
  <si>
    <t>7 天 6 夜（2026/12/22 二 ～ 12/28 一）</t>
  </si>
  <si>
    <t>自駕租車 5 日（Day 2-6）＋ 熊本市區電車（Day 7）</t>
  </si>
  <si>
    <t>熊本(1N) ➔ 黑川(1N) ➔ 宮崎(1N) ➔ 鹿兒島(2N) ➔ 熊本(1N)</t>
  </si>
  <si>
    <t>冬季山區需租雪胎、高千穗划船提早預約、改住宮崎大幅分散車程更順暢</t>
  </si>
  <si>
    <t>行程項目 \ 日期</t>
  </si>
  <si>
    <t>12/22 (二) Day 1</t>
  </si>
  <si>
    <t>12/23 (三) Day 2</t>
  </si>
  <si>
    <t>12/24 (四) Day 3</t>
  </si>
  <si>
    <t>12/25 (五) Day 4</t>
  </si>
  <si>
    <t>12/26 (六) Day 5</t>
  </si>
  <si>
    <t>12/27 (日) Day 6</t>
  </si>
  <si>
    <t>12/28 (一) Day 7</t>
  </si>
  <si>
    <t>🚩 當日主題</t>
  </si>
  <si>
    <t>啟程・飛抵熊本市區</t>
  </si>
  <si>
    <t>阿蘇火山與黑川秘湯</t>
  </si>
  <si>
    <t>神話之鄉・高千穗峽谷</t>
  </si>
  <si>
    <t>太平洋日南海岸・南國南九州</t>
  </si>
  <si>
    <t>櫻島火山與薩摩名勝</t>
  </si>
  <si>
    <t>霧島國寶與人吉鰻魚</t>
  </si>
  <si>
    <t>熊本古城・滿載歸途</t>
  </si>
  <si>
    <t>🗺️ 當日路線</t>
  </si>
  <si>
    <t>桃園機場 ➔ 熊本機場 ➔ 熊本市區</t>
  </si>
  <si>
    <t>熊本 ➔ 阿蘇草千里・火山口 ➔ 黑川</t>
  </si>
  <si>
    <t>黑川 ➔ 上色見熊野座 ➔ 高千穗 ➔ 宮崎</t>
  </si>
  <si>
    <t>宮崎 ➔ 青島神社 ➔ 日南海岸・鵜戶神宮 ➔ 鹿兒島</t>
  </si>
  <si>
    <t>鹿兒島 ➔ 櫻島渡輪 ➔ 鹿兒島市區</t>
  </si>
  <si>
    <t>鹿兒島 ➔ 霧島神宮 ➔ 人吉 ➔ 熊本</t>
  </si>
  <si>
    <t>熊本市區 (路面電車) ➔ 熊本機場 ➔ 桃園</t>
  </si>
  <si>
    <t>🚗 預估車程</t>
  </si>
  <si>
    <t>無自駕 (機場利木津巴士約 50 分)</t>
  </si>
  <si>
    <t>約 2.5 小時 (經草千里與大觀峰景觀公路)</t>
  </si>
  <si>
    <t>約 3.5 小時 (分段行車：黑川➔高千穗 1.5h、高千穗➔宮崎 2h)</t>
  </si>
  <si>
    <t>約 2.5～3 小時 (宮崎至日南 45m、日南至鹿兒島 2h)</t>
  </si>
  <si>
    <t>約 1.5 小時 (含櫻島渡輪單程 15 分)</t>
  </si>
  <si>
    <t>約 2.5 小時 (走九州自動車道快線)</t>
  </si>
  <si>
    <t>無自駕 (路面電車＋機場巴士 50 分)</t>
  </si>
  <si>
    <t>⚡ 可行性評估</t>
  </si>
  <si>
    <t>🟢 極佳｜輕鬆出關進市區，無自駕壓力</t>
  </si>
  <si>
    <t>🟢 絕佳｜景致壯闊，下午提早進黑川享受秘湯</t>
  </si>
  <si>
    <t>🟢 良好｜划船提前預約，傍晚沿高速順暢抵達宮崎</t>
  </si>
  <si>
    <t>🟢 極佳｜宮崎出發動線極順，行車大幅減壓</t>
  </si>
  <si>
    <t>🟢 極佳｜渡輪班次密集，市區名勝節奏舒緩</t>
  </si>
  <si>
    <t>🟢 極佳｜高速公路順暢，人吉鰻魚中繼極佳</t>
  </si>
  <si>
    <t>🟢 輕鬆｜電車漫遊熊本城，留足機場採買時間</t>
  </si>
  <si>
    <t>☀️ 上午行程</t>
  </si>
  <si>
    <t>• 12:00 抵達桃園機場 T2 辦理報到與托運
• 預辦 VJW 快速通關、換匯與網路確認</t>
  </si>
  <si>
    <t>• 08:30 熊本市區取車出發
• 10:00 抵達阿蘇草千里之濱、遠眺阿蘇五岳
• 11:00 探訪阿蘇中岳火山口 (視即時火山氣體狀況開放)</t>
  </si>
  <si>
    <t>• 09:00 黑川溫泉退房出發
• 09:45 抵達上色見熊野座神社 (參道巨杉與穿戶岩，停留約 1h)
• 11:30 抵達高千穗 (先至小火車取票或天安河原參拜)</t>
  </si>
  <si>
    <t>• 09:00 宮崎出發前往「青島神社・鬼之洗衣板」(車程約 25m)
• 漫步日南海岸特殊海蝕地貌「鬼之洗濯板」與鳥居 (停留約 1h)
• 10:30 抵達 Sun Messe 日南 (復活節島授權摩艾石像，停留 50m)
• 11:45 抵達參拜「鵜戶神宮」(絕壁海蝕洞穴奇景、投擲運玉)</t>
  </si>
  <si>
    <t>• 08:30 鹿兒島港自駕搭乘櫻島渡輪 (航程 15m)
• 09:15 漫步櫻島溶岩なぎさ遊步道、天然足湯
• 10:30 登湯之平展望台、黑神埋沒鳥居</t>
  </si>
  <si>
    <t>• 08:30 鹿兒島出發前往霧島 (車程約 1h10m)
• 09:45 參拜國寶「霧島神宮」(南九州最大神宮)
• 11:15 出發走九州道前往人吉 (車程約 50m)</t>
  </si>
  <si>
    <t>• 09:00 辦理退房，行李寄放飯店
• 購買熊本路面電車一日券，悠閒漫遊
• 09:30 登上日本三大名城「熊本城」天守閣</t>
  </si>
  <si>
    <t>🍱 午餐推薦</t>
  </si>
  <si>
    <t>桃園機場 T2 美食街快速享用午餐</t>
  </si>
  <si>
    <t>阿蘇市區鄉土料理（阿蘇赤牛丼「あか牛丼」或道之驛 阿蘇）</t>
  </si>
  <si>
    <t>高千穗牛名店「初榮 (Hatsusakae)」或「高千穗牛燒肉 和」</t>
  </si>
  <si>
    <t>日南海岸海鮮料理（伊勢海老/海鮮丼）或宮崎名物南蠻雞（道路休息站享用）</t>
  </si>
  <si>
    <t>鹿兒島黑毛和牛名店「焼肉&amp;しゃぶしゃぶ 松坂」</t>
  </si>
  <si>
    <t>人吉百年炭火鰻魚名店「上村うなぎや」或「芳野鰻魚」</t>
  </si>
  <si>
    <t>櫻之馬場 城彩苑（熊本在地小吃、馬肉可樂餅、芥末蓮藕）</t>
  </si>
  <si>
    <t>🍃 下午行程</t>
  </si>
  <si>
    <t>• ✈️ 14:30 華航 CI194 桃園 (TPE) ➔ 17:30 熊本 (KMJ)
• 18:15 順利入境，搭利木津巴士前往熊本市區
• 預計 19:15 抵達市區飯店辦理 Check-in</t>
  </si>
  <si>
    <t>• 13:00 沿「牛奶之路 (Milk Road)」景觀公路奔馳
• 13:40 抵達大觀峰展望台 (停留40分，俯瞰阿蘇五岳與破火山口絕景)
• 14:30 啟程前往黑川溫泉 (車程約 35m)
• 15:15 抵達黑川溫泉旅館 Check-in 卸行李
• 15:30~17:30 漫步黑川老街、持入湯手形體驗特色露天風呂
（註：阿蘇神社列為彈性備選；優先保證黑川老街與溫泉體驗時光）</t>
  </si>
  <si>
    <t>• 13:00 高千穗小火車 (Amaterasu Railway) 俯瞰鐵道絕景
• 14:15 漫步高千穗峽、真名井瀑布 (划船體驗 30m)
• 15:45 啟程前往宮崎 (走九州中央道/東九州道，車程約 1h50m)
• 17:45 抵達宮崎市區飯店/海邊民宿辦理 Check-in</t>
  </si>
  <si>
    <t>• 13:30 沿著日南海岸線奔馳，前往鹿兒島市區 (車程約 2h)
• （中途可彈性停留都城「霧島酒廠工廠花園」小憩）
• 15:45 抵達鹿兒島飯店 Check-in 卸行李
• 16:30 天文館商店街散策、採買伴手禮</t>
  </si>
  <si>
    <t>• 13:00 搭渡輪返回鹿兒島港
• 13:30 參觀日本大名庭園「仙巖園」(眺望櫻島借景)
• 15:30 登上城山公園展望台 (俯瞰市區與鹿兒島灣夕照)</t>
  </si>
  <si>
    <t>• 13:00 人吉出發走九州道前往熊本 (車程約 1h15m)
• 14:30 抵達九州大型購物商場「熊本 AEON MALL 嘉島」
• 悠閒採購日系生活雜貨、藥妝與家庭零食伴手禮</t>
  </si>
  <si>
    <t>• 12:30 前往江戶桃山式池泉回遊庭園「水前寺成趣園」
• 14:30 回飯店提領行李
• 15:00-15:30 於市區搭乘利木津巴士前往熊本機場 (KMJ)</t>
  </si>
  <si>
    <t>🍲 晚餐推薦</t>
  </si>
  <si>
    <t>熊本拉麵名店（黑亭 / 桂花）或下通馬肉刺身料理</t>
  </si>
  <si>
    <t>黑川溫泉旅館精緻旬彩會席料理 (一泊二食饗宴)</t>
  </si>
  <si>
    <t>宮崎在地名店：宮崎牛鐵板燒「APAS (一ッ葉)」或「塚田農場」、宮崎 AEON MALL 美食</t>
  </si>
  <si>
    <t>鹿兒島黑豚名家「壽庵 (Jouan)」黑豚涮涮鍋・黑豚排</t>
  </si>
  <si>
    <t>鹿兒島天文館美食街（鹿兒島黑豚拉麵、居酒屋料理）天文館吾愛人</t>
  </si>
  <si>
    <t>熊本市區名店（勝烈亭新市街炸豬排、赤牛排料理）</t>
  </si>
  <si>
    <t>熊本機場新航廈美食街（熊本拉麵、味千）或 ✈️ 機上餐</t>
  </si>
  <si>
    <t>勝烈亭 新市街本店</t>
  </si>
  <si>
    <t>幸家園</t>
  </si>
  <si>
    <t>地雞與蔬菜卷 Torikura 天文館店</t>
  </si>
  <si>
    <t>大衆馬肉酒場 三村 熊本下通り店</t>
  </si>
  <si>
    <t>宮崎牛燒肉 犇</t>
  </si>
  <si>
    <t>鄉土料理</t>
  </si>
  <si>
    <t>豬排與、涮涮鍋。黑豚Fukuya</t>
  </si>
  <si>
    <t>🌙 夜間亮點</t>
  </si>
  <si>
    <t>• 熊本上通/下通商店街夜巡散策
• 超商採買日本水果、消夜與點心</t>
  </si>
  <si>
    <t>• 漫步黑川溫泉街欣賞冬季限定「湯明 (湯あかり)」浪漫竹燈祭
• 旅館露天風呂體驗極致暖意溫泉、仰望冬夜星空</t>
  </si>
  <si>
    <t>• 宮崎 AEON MALL 悠閒逛街購物採買
• 或宮崎市區橘通商店街散策、品嚐在地宵夜與水果芭菲</t>
  </si>
  <si>
    <t>• 欣賞鹿兒島天文館冬季璀璨彩燈點燈 (Illumination)
• 伴手禮名店「薩摩蒸氣屋」採買剛烤出爐甜甜圈與輕羹</t>
  </si>
  <si>
    <t>• 鹿兒島屋台村居酒屋體驗地酒、或天文館商業街悠遊散步
• 港大通公園燈飾</t>
  </si>
  <si>
    <t>• 17:30 市區飯店卸下戰利品與行李
• 18:00 順利前往市區租車門市辦理還車手續
• 辛島町商圈夜步、整理戰利品行李</t>
  </si>
  <si>
    <t>• 16:30 抵達熊本機場 (2023全新落成航廈免稅店超好逛)
• ✈️ 18:35 華航 CI195 起飛 ➔ 20:10 抵達台灣桃園 TPE</t>
  </si>
  <si>
    <t>🏨 當晚住宿</t>
  </si>
  <si>
    <t>熊本市區 (辛島町 / 熊本駅前)</t>
  </si>
  <si>
    <t>黑川溫泉旅館 (一泊二食)</t>
  </si>
  <si>
    <t>宮崎海邊特色民宿</t>
  </si>
  <si>
    <t>鹿兒島市區飯店 (天文館 / 中央駅)</t>
  </si>
  <si>
    <t>溫暖的家（抵達台灣桃園）</t>
  </si>
  <si>
    <t>🎁 必買名產</t>
  </si>
  <si>
    <t>熊本熊周邊小物、阿蘇牛奶零食</t>
  </si>
  <si>
    <t>黑川入湯手形、溫泉手帕、南小國地酒、阿蘇布丁</t>
  </si>
  <si>
    <t>宮崎芒果點心、青島仙貝、日向夏柑橘製品</t>
  </si>
  <si>
    <t>薩摩蒸氣屋（烤甜甜圈、霞燒菓子）、鹿兒島輕羹、黑豚肉味噌</t>
  </si>
  <si>
    <t>薩摩切子工藝品、櫻島熔岩燒烤盤、知覽綠茶</t>
  </si>
  <si>
    <t>熊本「譽之陣太鼓」、武者返糕點、人吉球磨燒酎、黑亭拉麵包</t>
  </si>
  <si>
    <t>熊本機場免稅店九州限定伴手禮（福砂屋長崎蛋糕、明太子餅乾）</t>
  </si>
  <si>
    <t>住宿選選</t>
  </si>
  <si>
    <t>Via Inn Prime Kumamoto</t>
  </si>
  <si>
    <t>溫泉旅館 やまびこ</t>
  </si>
  <si>
    <t xml:space="preserve"> 兩房海邊 4046</t>
  </si>
  <si>
    <t>Perch's Apartment 303</t>
  </si>
  <si>
    <t>HOTEL AMANEK Kumamoto</t>
  </si>
  <si>
    <t>確認住宿價錢</t>
  </si>
  <si>
    <t>💡 南九州自駕關鍵可行性評估與行車優化建議</t>
  </si>
  <si>
    <t>核心維度</t>
  </si>
  <si>
    <t>評估等級</t>
  </si>
  <si>
    <t>適用天數</t>
  </si>
  <si>
    <t>現況分析與潛在風險說明</t>
  </si>
  <si>
    <t>具體優化對策與行車建議</t>
  </si>
  <si>
    <t>Day 3-4 改宿宮崎之動線效益</t>
  </si>
  <si>
    <t>🟢 大幅優化</t>
  </si>
  <si>
    <t>Day 3-4 (12/24-25)</t>
  </si>
  <si>
    <t>原先若自高千穗直奔日南再至鹿兒島，單日車程達 5 小時且冬季日落早（17:15）。改為 Day 3 傍晚夜宿宮崎後，車程完美拆分為兩日輕鬆駕車！</t>
  </si>
  <si>
    <t>Day 3 黑川至高千穗約 1.5h、高千穗至宮崎走高速約 2h；Day 4 宮崎至日南僅 40m、日南至鹿兒島約 2h，更可順遊青島神社，全天駕駛舒適安全。</t>
  </si>
  <si>
    <t>阿蘇・黑川冬季路況與雪胎</t>
  </si>
  <si>
    <t>🟢 需備雪胎</t>
  </si>
  <si>
    <t>Day 2-3 (12/23-24)</t>
  </si>
  <si>
    <t>12月下旬阿蘇五岳、大觀峰、黑川溫泉海拔較高，清晨與入夜氣溫易降至零度以下，路面可能出現暗冰 (Black Ice) 或積雪。</t>
  </si>
  <si>
    <t>租車時務必提前勾選加購「雪胎 (Studless Tire)」；隨時查詢阿蘇火山氣體即時燈號；大觀峰風大體感溫度極低，需備妥防風保暖衣物。</t>
  </si>
  <si>
    <t>高千穗峽划船與夜神樂預約</t>
  </si>
  <si>
    <t>🟢 提早預約</t>
  </si>
  <si>
    <t>Day 3 (12/24)</t>
  </si>
  <si>
    <t>高千穗峽划船極度熱門，現場排隊常額滿或耗費數小時；高千穗夜神樂冬季每晚僅有一至兩場，座位有限。</t>
  </si>
  <si>
    <t>划船於搭乘日前 1 週（官網整點）開放線上搶票；高千穗夜神樂務必於出發前在觀光協會官網預約門票；車輛建議停第 1 御塩井停車場最便捷。</t>
  </si>
  <si>
    <t>人吉中繼休息與高速快線效益</t>
  </si>
  <si>
    <t>🟢 效益極佳</t>
  </si>
  <si>
    <t>Day 6 (12/27)</t>
  </si>
  <si>
    <t>原草稿標註「熊本 2h11m」為一般道路預估，若連開易疲勞。但中繼安排國寶霧島神宮與人吉鰻魚飯動線極佳。</t>
  </si>
  <si>
    <t>鹿兒島經霧島至人吉約 1h，人吉至熊本走九州自動車道僅需約 1h15m，大幅縮短行車時間；建議租用 ETC 卡配合 KEP 高速公路 PASS。</t>
  </si>
  <si>
    <t>市區還車時機與機場新航廈</t>
  </si>
  <si>
    <t>🟢 輕鬆舒適</t>
  </si>
  <si>
    <t>Day 6-7 (12/27-28)</t>
  </si>
  <si>
    <t>熊本市區停車費用高且景點集中，Day 6 傍晚抵達市區並放完行李後立即還車，省下市區停車費與 Day 7 還車焦慮。</t>
  </si>
  <si>
    <t>Day 6 傍晚 18:00 完成還車；Day 7 利用路面電車一日券遊熊本城與水前寺；15:30 提早抵達熊本新航廈，預留充足時間逛免稅店與美食街。</t>
  </si>
  <si>
    <t>📋 出發前必辦清單與官方預約時程表</t>
  </si>
  <si>
    <t>預約項目</t>
  </si>
  <si>
    <t>開放預約時程</t>
  </si>
  <si>
    <t>預約管道 / 官方平台</t>
  </si>
  <si>
    <t>重要性 / 準備重點說明</t>
  </si>
  <si>
    <t>確認狀態</t>
  </si>
  <si>
    <t>租車預約 (雪胎指定)</t>
  </si>
  <si>
    <t>出發前 2～3 個月</t>
  </si>
  <si>
    <t>Toyota / Times / ORIX 等租車網</t>
  </si>
  <si>
    <t>務必備註「スタッドレスタイヤ (雪胎)」，阿蘇黑川冬季必備；確認含 ETC 機與免責保險。</t>
  </si>
  <si>
    <t>⏳ 待確認</t>
  </si>
  <si>
    <t>高千穗峽租船預約</t>
  </si>
  <si>
    <t>乘船日 1 週前 09:00</t>
  </si>
  <si>
    <t>高千穗町觀光協會官方網站</t>
  </si>
  <si>
    <t>一艘船限乘 3 人，費用約 4,100~5,100 日圓，線上刷卡預約，搶熱門下午時段。</t>
  </si>
  <si>
    <t>⏳ 待預約</t>
  </si>
  <si>
    <t>高千穗神社夜神樂</t>
  </si>
  <si>
    <t>參加日前 1 個月起</t>
  </si>
  <si>
    <t>高千穗町觀光協會官網預約</t>
  </si>
  <si>
    <t>每晚 20:00~21:00 演出（神樂殿），票價約 1,000 日圓/人，保留席次避免向隅。</t>
  </si>
  <si>
    <t>黑川溫泉一泊二食</t>
  </si>
  <si>
    <t>出發前 3～6 個月</t>
  </si>
  <si>
    <t>溫泉旅館官網 / 訂房網站</t>
  </si>
  <si>
    <t>冬季為黑川竹燈祭旺季，房間數少，建議儘早鎖定心儀溫泉旅館。</t>
  </si>
  <si>
    <t>行前文件：VJW 與駕照</t>
  </si>
  <si>
    <t>出發前 1～2 週</t>
  </si>
  <si>
    <t>Visit Japan Web / 台灣監理站</t>
  </si>
  <si>
    <t>填寫入境審查與海關申報 QR Code；攜帶「台灣駕照正本」＋「日文譯本正本」（非國際駕照）。</t>
  </si>
  <si>
    <t>⏳ 待辦理</t>
  </si>
  <si>
    <t>名店用餐：人吉鰻魚 / 壽庵</t>
  </si>
  <si>
    <t>出發前 1 個月或現場排</t>
  </si>
  <si>
    <t>官網預約或當日提早抵達</t>
  </si>
  <si>
    <t>上村うなぎや建議 11:00 前抵達；鹿兒島壽庵中央駅店或天文館店建議先線上訂位。</t>
  </si>
  <si>
    <t>🇯🇵 2026 南九州家族之旅 • 4人旅費分攤結算系統</t>
  </si>
  <si>
    <t>💱 日幣匯率 (JPY➔TWD)</t>
  </si>
  <si>
    <t>（可依即時牌告修改）</t>
  </si>
  <si>
    <t>📅 2026/12/22 ~ 12/28（7天6夜） ｜ 👥 家族成員 4 位 ｜ 💡 支援日幣/台幣雙幣自動折算與即時多方代墊平分</t>
  </si>
  <si>
    <t>📌 換算公式：日幣原幣 × 此匯率 ＝ 新台幣（明細表與儀表板自動即時同步）</t>
  </si>
  <si>
    <t>💰 旅費總支出 (折合 NT$)</t>
  </si>
  <si>
    <t>💴 日幣總花費 (¥)</t>
  </si>
  <si>
    <t>👤 每人平均分攤 (NT$)</t>
  </si>
  <si>
    <t>📝 已記帳筆數</t>
  </si>
  <si>
    <t>💡 南九州行程記帳小提示</t>
  </si>
  <si>
    <t>1. 雙幣別自由選：明細中幣別選 JPY 即乘匯率換算 NT$，選 TWD 則直接計入台幣。
2. 靈活勾選分攤：每列勾選實際參與的成員，系統自動按人數均攤，非全員消費也能精準分帳！</t>
  </si>
  <si>
    <t>👥 4 位成員旅費墊付與應分攤結算看板 (自動計算)</t>
  </si>
  <si>
    <t>📊 行程公費類別支出統計</t>
  </si>
  <si>
    <t>成員姓名</t>
  </si>
  <si>
    <t>代墊總額 (NT$)</t>
  </si>
  <si>
    <t>應分攤金額 (NT$)</t>
  </si>
  <si>
    <t>結算差額 (NT$)</t>
  </si>
  <si>
    <t>結算狀態</t>
  </si>
  <si>
    <t>結算動作指引</t>
  </si>
  <si>
    <t>費用類別</t>
  </si>
  <si>
    <t>類別總計 (NT$)</t>
  </si>
  <si>
    <t>支出佔比</t>
  </si>
  <si>
    <t>涵蓋重點項目摘要</t>
  </si>
  <si>
    <t>阿純</t>
  </si>
  <si>
    <t>🚗 交通費用</t>
  </si>
  <si>
    <t>華航機票、8人座租車、ETC過路費、櫻島渡輪、機場Jumbo Taxi</t>
  </si>
  <si>
    <t>阿嚕</t>
  </si>
  <si>
    <t>🏨 住宿飯店</t>
  </si>
  <si>
    <t>黑川溫泉秘湯一泊二食、城山酒店鹿兒島、霧島溫泉鄉、熊本市區飯店</t>
  </si>
  <si>
    <t>阿姨</t>
  </si>
  <si>
    <t>🍱 餐飲美食</t>
  </si>
  <si>
    <t>孫三郎/黑樺牛燒肉、吾愛人黑豚涮涮鍋、初榮牛排/地雞、勝烈亭豬排</t>
  </si>
  <si>
    <t>姨丈</t>
  </si>
  <si>
    <t>🎫 體驗門票</t>
  </si>
  <si>
    <t>高千穗夜神樂入場券、指宿砂蒸天然黑砂浴、熊本城天守閣、成趣園</t>
  </si>
  <si>
    <t>合計 / 平衡檢查</t>
  </si>
  <si>
    <t>🛍️ 購物採買</t>
  </si>
  <si>
    <t>鶴屋百貨/下通商店街、櫻之馬場土產伴手禮、超市水果零食</t>
  </si>
  <si>
    <t>💡 結算指引：由應補款成員直接匯款補給多代墊成員，全數付清後即完成平帳。</t>
  </si>
  <si>
    <t>⚙️ 雜支保險</t>
  </si>
  <si>
    <t>海外旅遊平安險、日本 eSIM 網卡、路面電車一日券、停車費</t>
  </si>
  <si>
    <t>行程天數 / 日期</t>
  </si>
  <si>
    <t>消費項目與內容</t>
  </si>
  <si>
    <t>付款人</t>
  </si>
  <si>
    <t>幣別</t>
  </si>
  <si>
    <t>原幣金額</t>
  </si>
  <si>
    <t>折合台幣 (NT$)</t>
  </si>
  <si>
    <t>參與人數</t>
  </si>
  <si>
    <t>每人應付 (NT$)</t>
  </si>
  <si>
    <t>行程亮點與細項備註</t>
  </si>
  <si>
    <t>Day 1 (12/22)</t>
  </si>
  <si>
    <t>華航 TPE ➔ KMJ 來回機票 (4人)</t>
  </si>
  <si>
    <t>交通</t>
  </si>
  <si>
    <t>TWD</t>
  </si>
  <si>
    <t>14:30 華航直飛熊本，阿純 官網刷卡代墊全員機票</t>
  </si>
  <si>
    <t>住宿</t>
  </si>
  <si>
    <t>JPY</t>
  </si>
  <si>
    <t>黑川溫泉-山彥旅館</t>
  </si>
  <si>
    <t>Seagaia Forest Condominiums</t>
  </si>
  <si>
    <t>12/25-12/26</t>
  </si>
  <si>
    <t>合計 TOTAL</t>
  </si>
  <si>
    <t>-</t>
  </si>
  <si>
    <t>4 人</t>
  </si>
  <si>
    <t>每人分攤總計平分檢查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</si>
</sst>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"/>
    <numFmt numFmtId="165" formatCode="&quot;NT$&quot;#,##0"/>
    <numFmt numFmtId="166" formatCode="&quot;¥&quot;#,##0"/>
    <numFmt numFmtId="167" formatCode="&quot;NT$&quot;+#,##0;&quot;NT$&quot;-#,##0;&quot;NT$0&quot;"/>
    <numFmt numFmtId="168" formatCode="0.0%"/>
    <numFmt numFmtId="169" formatCode="NT$#,##0"/>
    <numFmt numFmtId="170" formatCode="m/d"/>
  </numFmts>
  <fonts count="37">
    <font>
      <sz val="10.0"/>
      <color rgb="FF000000"/>
      <name val="Arial"/>
      <scheme val="minor"/>
    </font>
    <font>
      <b/>
      <sz val="16.0"/>
      <color rgb="FFFFFFFF"/>
      <name val="Google Sans"/>
    </font>
    <font/>
    <font>
      <b/>
      <sz val="10.0"/>
      <color rgb="FF1F3529"/>
      <name val="Google Sans"/>
    </font>
    <font>
      <b/>
      <sz val="10.0"/>
      <color rgb="FF364A3E"/>
      <name val="Google Sans"/>
    </font>
    <font>
      <sz val="10.0"/>
      <color rgb="FF161D18"/>
      <name val="Google Sans"/>
    </font>
    <font>
      <b/>
      <sz val="11.0"/>
      <color rgb="FFFFFFFF"/>
      <name val="Google Sans"/>
    </font>
    <font>
      <b/>
      <sz val="10.0"/>
      <color rgb="FF161D18"/>
      <name val="Google Sans"/>
    </font>
    <font>
      <sz val="10.0"/>
      <color theme="1"/>
      <name val="Google Sans"/>
    </font>
    <font>
      <b/>
      <sz val="10.0"/>
      <color rgb="FF246A4A"/>
      <name val="Google Sans"/>
    </font>
    <font>
      <b/>
      <sz val="10.0"/>
      <color rgb="FF33260C"/>
      <name val="Google Sans"/>
    </font>
    <font>
      <sz val="9.0"/>
      <color theme="1"/>
      <name val="Google Sans"/>
    </font>
    <font>
      <u/>
      <sz val="10.0"/>
      <color rgb="FF0000FF"/>
      <name val="Google Sans"/>
    </font>
    <font>
      <u/>
      <sz val="10.0"/>
      <color rgb="FF0000FF"/>
      <name val="Google Sans"/>
    </font>
    <font>
      <u/>
      <sz val="10.0"/>
      <color rgb="FF0000FF"/>
      <name val="Google Sans"/>
    </font>
    <font>
      <b/>
      <sz val="10.0"/>
      <color rgb="FFFF0000"/>
      <name val="Google Sans"/>
    </font>
    <font>
      <b/>
      <sz val="12.0"/>
      <color rgb="FFFFFFFF"/>
      <name val="Google Sans"/>
    </font>
    <font>
      <b/>
      <sz val="16.0"/>
      <color rgb="FF1F395F"/>
      <name val="Google Sans"/>
    </font>
    <font>
      <b/>
      <sz val="10.0"/>
      <color rgb="FF1F395F"/>
      <name val="Google Sans"/>
    </font>
    <font>
      <b/>
      <sz val="12.0"/>
      <color rgb="FF1F395F"/>
      <name val="Google Sans"/>
    </font>
    <font>
      <sz val="9.0"/>
      <color rgb="FF74777E"/>
      <name val="Google Sans"/>
    </font>
    <font>
      <color theme="1"/>
      <name val="Google Sans"/>
    </font>
    <font>
      <sz val="10.0"/>
      <color rgb="FF74777E"/>
      <name val="Google Sans"/>
    </font>
    <font>
      <sz val="9.0"/>
      <color rgb="FF595959"/>
      <name val="Google Sans"/>
    </font>
    <font>
      <b/>
      <sz val="9.0"/>
      <color rgb="FF1F395F"/>
      <name val="Google Sans"/>
    </font>
    <font>
      <b/>
      <sz val="9.0"/>
      <color rgb="FF263F66"/>
      <name val="Google Sans"/>
    </font>
    <font>
      <b/>
      <sz val="9.0"/>
      <color rgb="FF0C592D"/>
      <name val="Google Sans"/>
    </font>
    <font>
      <b/>
      <sz val="9.0"/>
      <color rgb="FF724C0C"/>
      <name val="Google Sans"/>
    </font>
    <font>
      <b/>
      <sz val="9.0"/>
      <color rgb="FF3F4C66"/>
      <name val="Google Sans"/>
    </font>
    <font>
      <b/>
      <sz val="14.0"/>
      <color rgb="FF263F66"/>
      <name val="Google Sans"/>
    </font>
    <font>
      <b/>
      <sz val="16.0"/>
      <color rgb="FF0C592D"/>
      <name val="Google Sans"/>
    </font>
    <font>
      <b/>
      <sz val="15.0"/>
      <color rgb="FF724C0C"/>
      <name val="Google Sans"/>
    </font>
    <font>
      <sz val="9.0"/>
      <color rgb="FF4C4C4C"/>
      <name val="Google Sans"/>
    </font>
    <font>
      <b/>
      <color rgb="FFFFFFFF"/>
      <name val="Google Sans"/>
    </font>
    <font>
      <b/>
      <color theme="1"/>
      <name val="Google Sans"/>
    </font>
    <font>
      <sz val="9.0"/>
      <color rgb="FF596672"/>
      <name val="Google Sans"/>
    </font>
    <font>
      <b/>
      <color rgb="FF1F395F"/>
      <name val="Google Sans"/>
    </font>
  </fonts>
  <fills count="26">
    <fill>
      <patternFill patternType="none"/>
    </fill>
    <fill>
      <patternFill patternType="lightGray"/>
    </fill>
    <fill>
      <patternFill patternType="solid">
        <fgColor rgb="FF246A4A"/>
        <bgColor rgb="FF246A4A"/>
      </patternFill>
    </fill>
    <fill>
      <patternFill patternType="solid">
        <fgColor rgb="FFD0E8D6"/>
        <bgColor rgb="FFD0E8D6"/>
      </patternFill>
    </fill>
    <fill>
      <patternFill patternType="solid">
        <fgColor rgb="FFEAEEE9"/>
        <bgColor rgb="FFEAEEE9"/>
      </patternFill>
    </fill>
    <fill>
      <patternFill patternType="solid">
        <fgColor rgb="FFFFFFFF"/>
        <bgColor rgb="FFFFFFFF"/>
      </patternFill>
    </fill>
    <fill>
      <patternFill patternType="solid">
        <fgColor rgb="FFF5FAF4"/>
        <bgColor rgb="FFF5FAF4"/>
      </patternFill>
    </fill>
    <fill>
      <patternFill patternType="solid">
        <fgColor rgb="FFFAF8EB"/>
        <bgColor rgb="FFFAF8EB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4E2FF"/>
        <bgColor rgb="FFD4E2FF"/>
      </patternFill>
    </fill>
    <fill>
      <patternFill patternType="solid">
        <fgColor rgb="FFF7F9FF"/>
        <bgColor rgb="FFF7F9FF"/>
      </patternFill>
    </fill>
    <fill>
      <patternFill patternType="solid">
        <fgColor rgb="FFF2F4F9"/>
        <bgColor rgb="FFF2F4F9"/>
      </patternFill>
    </fill>
    <fill>
      <patternFill patternType="solid">
        <fgColor rgb="FFE0E8F4"/>
        <bgColor rgb="FFE0E8F4"/>
      </patternFill>
    </fill>
    <fill>
      <patternFill patternType="solid">
        <fgColor rgb="FFD8EDE0"/>
        <bgColor rgb="FFD8EDE0"/>
      </patternFill>
    </fill>
    <fill>
      <patternFill patternType="solid">
        <fgColor rgb="FFF9EFD1"/>
        <bgColor rgb="FFF9EFD1"/>
      </patternFill>
    </fill>
    <fill>
      <patternFill patternType="solid">
        <fgColor rgb="FFEDEFF4"/>
        <bgColor rgb="FFEDEFF4"/>
      </patternFill>
    </fill>
    <fill>
      <patternFill patternType="solid">
        <fgColor rgb="FFF2F7FF"/>
        <bgColor rgb="FFF2F7FF"/>
      </patternFill>
    </fill>
    <fill>
      <patternFill patternType="solid">
        <fgColor rgb="FFF4F7FC"/>
        <bgColor rgb="FFF4F7FC"/>
      </patternFill>
    </fill>
    <fill>
      <patternFill patternType="solid">
        <fgColor rgb="FFF2F9F4"/>
        <bgColor rgb="FFF2F9F4"/>
      </patternFill>
    </fill>
    <fill>
      <patternFill patternType="solid">
        <fgColor rgb="FFFFF9ED"/>
        <bgColor rgb="FFFFF9ED"/>
      </patternFill>
    </fill>
    <fill>
      <patternFill patternType="solid">
        <fgColor rgb="FFF9F9FC"/>
        <bgColor rgb="FFF9F9FC"/>
      </patternFill>
    </fill>
    <fill>
      <patternFill patternType="solid">
        <fgColor rgb="FF3D5F90"/>
        <bgColor rgb="FF3D5F90"/>
      </patternFill>
    </fill>
    <fill>
      <patternFill patternType="solid">
        <fgColor rgb="FFEDF2F9"/>
        <bgColor rgb="FFEDF2F9"/>
      </patternFill>
    </fill>
    <fill>
      <patternFill patternType="solid">
        <fgColor rgb="FFF8F9FB"/>
        <bgColor rgb="FFF8F9FB"/>
      </patternFill>
    </fill>
    <fill>
      <patternFill patternType="solid">
        <fgColor rgb="FF1F395F"/>
        <bgColor rgb="FF1F395F"/>
      </patternFill>
    </fill>
  </fills>
  <borders count="40">
    <border/>
    <border>
      <left style="thin">
        <color rgb="FFC4D1C6"/>
      </left>
      <top style="thin">
        <color rgb="FFC4D1C6"/>
      </top>
      <bottom style="thin">
        <color rgb="FFC4D1C6"/>
      </bottom>
    </border>
    <border>
      <top style="thin">
        <color rgb="FFC4D1C6"/>
      </top>
      <bottom style="thin">
        <color rgb="FFC4D1C6"/>
      </bottom>
    </border>
    <border>
      <right style="thin">
        <color rgb="FFC4D1C6"/>
      </right>
      <top style="thin">
        <color rgb="FFC4D1C6"/>
      </top>
      <bottom style="thin">
        <color rgb="FFC4D1C6"/>
      </bottom>
    </border>
    <border>
      <left style="thin">
        <color rgb="FFC4D1C6"/>
      </left>
      <right style="thin">
        <color rgb="FFC4D1C6"/>
      </right>
      <top style="thin">
        <color rgb="FFC4D1C6"/>
      </top>
      <bottom style="thin">
        <color rgb="FFC4D1C6"/>
      </bottom>
    </border>
    <border>
      <left style="thin">
        <color rgb="FF3D5F90"/>
      </left>
      <right style="thin">
        <color rgb="FF3D5F90"/>
      </right>
      <top style="thin">
        <color rgb="FF3D5F90"/>
      </top>
      <bottom style="thin">
        <color rgb="FF3D5F90"/>
      </bottom>
    </border>
    <border>
      <left style="medium">
        <color rgb="FF3D5F90"/>
      </left>
      <top style="medium">
        <color rgb="FF3D5F90"/>
      </top>
      <bottom style="medium">
        <color rgb="FF3D5F90"/>
      </bottom>
    </border>
    <border>
      <right style="medium">
        <color rgb="FF3D5F90"/>
      </right>
      <top style="medium">
        <color rgb="FF3D5F90"/>
      </top>
      <bottom style="medium">
        <color rgb="FF3D5F90"/>
      </bottom>
    </border>
    <border>
      <left style="medium">
        <color rgb="FF667FA5"/>
      </left>
      <right style="medium">
        <color rgb="FF667FA5"/>
      </right>
      <top style="medium">
        <color rgb="FF667FA5"/>
      </top>
      <bottom style="medium">
        <color rgb="FF667FA5"/>
      </bottom>
    </border>
    <border>
      <left style="medium">
        <color rgb="FF3FA566"/>
      </left>
      <top style="medium">
        <color rgb="FF3FA566"/>
      </top>
      <bottom style="medium">
        <color rgb="FF3FA566"/>
      </bottom>
    </border>
    <border>
      <right style="medium">
        <color rgb="FF3FA566"/>
      </right>
      <top style="medium">
        <color rgb="FF3FA566"/>
      </top>
      <bottom style="medium">
        <color rgb="FF3FA566"/>
      </bottom>
    </border>
    <border>
      <left style="medium">
        <color rgb="FFE5B233"/>
      </left>
      <right style="medium">
        <color rgb="FFE5B233"/>
      </right>
      <top style="medium">
        <color rgb="FFE5B233"/>
      </top>
      <bottom style="medium">
        <color rgb="FFE5B233"/>
      </bottom>
    </border>
    <border>
      <left style="thin">
        <color rgb="FFCCD1D8"/>
      </left>
      <top style="thin">
        <color rgb="FFCCD1D8"/>
      </top>
      <bottom style="thin">
        <color rgb="FFCCD1D8"/>
      </bottom>
    </border>
    <border>
      <top style="thin">
        <color rgb="FFCCD1D8"/>
      </top>
      <bottom style="thin">
        <color rgb="FFCCD1D8"/>
      </bottom>
    </border>
    <border>
      <right style="thin">
        <color rgb="FFCCD1D8"/>
      </right>
      <top style="thin">
        <color rgb="FFCCD1D8"/>
      </top>
      <bottom style="thin">
        <color rgb="FFCCD1D8"/>
      </bottom>
    </border>
    <border>
      <left style="medium">
        <color rgb="FF3D5F90"/>
      </left>
      <top style="medium">
        <color rgb="FF3D5F90"/>
      </top>
    </border>
    <border>
      <right style="medium">
        <color rgb="FF3D5F90"/>
      </right>
      <top style="medium">
        <color rgb="FF3D5F90"/>
      </top>
    </border>
    <border>
      <left style="medium">
        <color rgb="FF667FA5"/>
      </left>
      <right style="medium">
        <color rgb="FF667FA5"/>
      </right>
      <top style="medium">
        <color rgb="FF667FA5"/>
      </top>
    </border>
    <border>
      <left style="medium">
        <color rgb="FF3FA566"/>
      </left>
      <top style="medium">
        <color rgb="FF3FA566"/>
      </top>
    </border>
    <border>
      <right style="medium">
        <color rgb="FF3FA566"/>
      </right>
      <top style="medium">
        <color rgb="FF3FA566"/>
      </top>
    </border>
    <border>
      <left style="medium">
        <color rgb="FFE5B233"/>
      </left>
      <right style="medium">
        <color rgb="FFE5B233"/>
      </right>
      <top style="medium">
        <color rgb="FFE5B233"/>
      </top>
    </border>
    <border>
      <left style="thin">
        <color rgb="FFCCD1D8"/>
      </left>
      <top style="thin">
        <color rgb="FFCCD1D8"/>
      </top>
    </border>
    <border>
      <top style="thin">
        <color rgb="FFCCD1D8"/>
      </top>
    </border>
    <border>
      <right style="thin">
        <color rgb="FFCCD1D8"/>
      </right>
      <top style="thin">
        <color rgb="FFCCD1D8"/>
      </top>
    </border>
    <border>
      <left style="medium">
        <color rgb="FF3D5F90"/>
      </left>
      <bottom style="medium">
        <color rgb="FF3D5F90"/>
      </bottom>
    </border>
    <border>
      <right style="medium">
        <color rgb="FF3D5F90"/>
      </right>
      <bottom style="medium">
        <color rgb="FF3D5F90"/>
      </bottom>
    </border>
    <border>
      <left style="medium">
        <color rgb="FF667FA5"/>
      </left>
      <right style="medium">
        <color rgb="FF667FA5"/>
      </right>
      <bottom style="medium">
        <color rgb="FF667FA5"/>
      </bottom>
    </border>
    <border>
      <left style="medium">
        <color rgb="FF3FA566"/>
      </left>
      <bottom style="medium">
        <color rgb="FF3FA566"/>
      </bottom>
    </border>
    <border>
      <right style="medium">
        <color rgb="FF3FA566"/>
      </right>
      <bottom style="medium">
        <color rgb="FF3FA566"/>
      </bottom>
    </border>
    <border>
      <left style="medium">
        <color rgb="FFE5B233"/>
      </left>
      <right style="medium">
        <color rgb="FFE5B233"/>
      </right>
      <bottom style="medium">
        <color rgb="FFE5B233"/>
      </bottom>
    </border>
    <border>
      <left style="thin">
        <color rgb="FFCCD1D8"/>
      </left>
      <bottom style="thin">
        <color rgb="FFCCD1D8"/>
      </bottom>
    </border>
    <border>
      <bottom style="thin">
        <color rgb="FFCCD1D8"/>
      </bottom>
    </border>
    <border>
      <right style="thin">
        <color rgb="FFCCD1D8"/>
      </right>
      <bottom style="thin">
        <color rgb="FFCCD1D8"/>
      </bottom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D8E0EA"/>
      </left>
      <top style="thin">
        <color rgb="FFD8E0EA"/>
      </top>
      <bottom style="thin">
        <color rgb="FFD8E0EA"/>
      </bottom>
    </border>
    <border>
      <right style="thin">
        <color rgb="FFD8E0EA"/>
      </right>
      <top style="thin">
        <color rgb="FFD8E0EA"/>
      </top>
      <bottom style="thin">
        <color rgb="FFD8E0EA"/>
      </bottom>
    </border>
    <border>
      <top style="thin">
        <color rgb="FFD8E0EA"/>
      </top>
      <bottom style="thin">
        <color rgb="FFD8E0EA"/>
      </bottom>
    </border>
    <border>
      <right style="thin">
        <color rgb="FFD8E0EA"/>
      </right>
    </border>
    <border>
      <top style="thin">
        <color rgb="FFE5EAEF"/>
      </top>
      <bottom style="thin">
        <color rgb="FFE5EAEF"/>
      </bottom>
    </border>
    <border>
      <right style="thin">
        <color rgb="FFE5EAEF"/>
      </right>
      <top style="thin">
        <color rgb="FFE5EAEF"/>
      </top>
      <bottom style="thin">
        <color rgb="FFE5EAEF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shrinkToFit="0" vertical="top" wrapText="1"/>
    </xf>
    <xf borderId="4" fillId="6" fontId="8" numFmtId="0" xfId="0" applyAlignment="1" applyBorder="1" applyFill="1" applyFont="1">
      <alignment horizontal="left" shrinkToFit="0" vertical="center" wrapText="1"/>
    </xf>
    <xf borderId="4" fillId="6" fontId="12" numFmtId="0" xfId="0" applyAlignment="1" applyBorder="1" applyFill="1" applyFont="1">
      <alignment horizontal="left" shrinkToFit="0" vertical="center" wrapText="1"/>
    </xf>
    <xf borderId="4" fillId="6" fontId="13" numFmtId="0" xfId="0" applyAlignment="1" applyBorder="1" applyFill="1" applyFont="1">
      <alignment horizontal="left" shrinkToFit="0" vertical="center" wrapText="0"/>
    </xf>
    <xf borderId="4" fillId="6" fontId="3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0" fillId="8" fontId="7" numFmtId="0" xfId="0" applyAlignment="1" applyFill="1" applyFont="1">
      <alignment horizontal="center" shrinkToFit="0" vertical="center" wrapText="1"/>
    </xf>
    <xf borderId="0" fillId="9" fontId="14" numFmtId="0" xfId="0" applyAlignment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15" numFmtId="0" xfId="0" applyAlignment="1" applyFont="1">
      <alignment shrinkToFit="0" wrapText="1"/>
    </xf>
    <xf borderId="1" fillId="2" fontId="16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10" fontId="18" numFmtId="0" xfId="0" applyAlignment="1" applyFill="1" applyFont="1">
      <alignment horizontal="center" vertical="center"/>
    </xf>
    <xf borderId="5" fillId="11" fontId="19" numFmtId="164" xfId="0" applyAlignment="1" applyBorder="1" applyFill="1" applyFont="1" applyNumberFormat="1">
      <alignment horizontal="center" vertical="center"/>
    </xf>
    <xf borderId="0" fillId="11" fontId="20" numFmtId="0" xfId="0" applyAlignment="1" applyFill="1" applyFont="1">
      <alignment horizontal="center" vertical="center"/>
    </xf>
    <xf borderId="0" fillId="0" fontId="21" numFmtId="0" xfId="0" applyFont="1"/>
    <xf borderId="0" fillId="0" fontId="22" numFmtId="0" xfId="0" applyAlignment="1" applyFont="1">
      <alignment vertical="center"/>
    </xf>
    <xf borderId="0" fillId="12" fontId="23" numFmtId="0" xfId="0" applyAlignment="1" applyFill="1" applyFont="1">
      <alignment horizontal="center" vertical="center"/>
    </xf>
    <xf borderId="6" fillId="10" fontId="24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13" fontId="25" numFmtId="0" xfId="0" applyAlignment="1" applyBorder="1" applyFill="1" applyFont="1">
      <alignment horizontal="center" vertical="center"/>
    </xf>
    <xf borderId="9" fillId="14" fontId="26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15" fontId="27" numFmtId="0" xfId="0" applyAlignment="1" applyBorder="1" applyFill="1" applyFont="1">
      <alignment horizontal="center" vertical="center"/>
    </xf>
    <xf borderId="12" fillId="16" fontId="28" numFmtId="0" xfId="0" applyAlignment="1" applyBorder="1" applyFill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17" fontId="17" numFmtId="165" xfId="0" applyAlignment="1" applyBorder="1" applyFill="1" applyFont="1" applyNumberFormat="1">
      <alignment horizontal="center" vertical="center"/>
    </xf>
    <xf borderId="16" fillId="0" fontId="2" numFmtId="0" xfId="0" applyBorder="1" applyFont="1"/>
    <xf borderId="17" fillId="18" fontId="29" numFmtId="166" xfId="0" applyAlignment="1" applyBorder="1" applyFill="1" applyFont="1" applyNumberFormat="1">
      <alignment horizontal="center" vertical="center"/>
    </xf>
    <xf borderId="18" fillId="19" fontId="30" numFmtId="165" xfId="0" applyAlignment="1" applyBorder="1" applyFill="1" applyFont="1" applyNumberFormat="1">
      <alignment horizontal="center" vertical="center"/>
    </xf>
    <xf borderId="19" fillId="0" fontId="2" numFmtId="0" xfId="0" applyBorder="1" applyFont="1"/>
    <xf borderId="20" fillId="20" fontId="31" numFmtId="0" xfId="0" applyAlignment="1" applyBorder="1" applyFill="1" applyFont="1">
      <alignment horizontal="center" vertical="center"/>
    </xf>
    <xf borderId="21" fillId="21" fontId="32" numFmtId="0" xfId="0" applyAlignment="1" applyBorder="1" applyFill="1" applyFont="1">
      <alignment horizontal="left" shrinkToFit="0" vertical="center" wrapText="1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0" fillId="0" fontId="19" numFmtId="0" xfId="0" applyAlignment="1" applyFont="1">
      <alignment vertical="center"/>
    </xf>
    <xf borderId="33" fillId="22" fontId="33" numFmtId="0" xfId="0" applyAlignment="1" applyBorder="1" applyFill="1" applyFont="1">
      <alignment horizontal="center" vertical="center"/>
    </xf>
    <xf borderId="34" fillId="22" fontId="33" numFmtId="0" xfId="0" applyAlignment="1" applyBorder="1" applyFill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3" fillId="0" fontId="34" numFmtId="0" xfId="0" applyAlignment="1" applyBorder="1" applyFont="1">
      <alignment horizontal="center"/>
    </xf>
    <xf borderId="33" fillId="0" fontId="21" numFmtId="165" xfId="0" applyAlignment="1" applyBorder="1" applyFont="1" applyNumberFormat="1">
      <alignment horizontal="right"/>
    </xf>
    <xf borderId="33" fillId="0" fontId="34" numFmtId="167" xfId="0" applyAlignment="1" applyBorder="1" applyFont="1" applyNumberFormat="1">
      <alignment horizontal="right"/>
    </xf>
    <xf borderId="33" fillId="0" fontId="21" numFmtId="0" xfId="0" applyAlignment="1" applyBorder="1" applyFont="1">
      <alignment horizontal="center"/>
    </xf>
    <xf borderId="34" fillId="0" fontId="21" numFmtId="0" xfId="0" applyAlignment="1" applyBorder="1" applyFont="1">
      <alignment horizontal="left"/>
    </xf>
    <xf borderId="33" fillId="0" fontId="21" numFmtId="168" xfId="0" applyAlignment="1" applyBorder="1" applyFont="1" applyNumberFormat="1">
      <alignment horizontal="right"/>
    </xf>
    <xf borderId="34" fillId="0" fontId="32" numFmtId="0" xfId="0" applyBorder="1" applyFont="1"/>
    <xf borderId="33" fillId="5" fontId="34" numFmtId="0" xfId="0" applyAlignment="1" applyBorder="1" applyFill="1" applyFont="1">
      <alignment horizontal="center"/>
    </xf>
    <xf borderId="33" fillId="5" fontId="21" numFmtId="165" xfId="0" applyAlignment="1" applyBorder="1" applyFill="1" applyFont="1" applyNumberFormat="1">
      <alignment horizontal="right"/>
    </xf>
    <xf borderId="33" fillId="5" fontId="34" numFmtId="167" xfId="0" applyAlignment="1" applyBorder="1" applyFill="1" applyFont="1" applyNumberFormat="1">
      <alignment horizontal="right"/>
    </xf>
    <xf borderId="33" fillId="5" fontId="21" numFmtId="0" xfId="0" applyAlignment="1" applyBorder="1" applyFill="1" applyFont="1">
      <alignment horizontal="center"/>
    </xf>
    <xf borderId="34" fillId="5" fontId="21" numFmtId="0" xfId="0" applyAlignment="1" applyBorder="1" applyFill="1" applyFont="1">
      <alignment horizontal="left"/>
    </xf>
    <xf borderId="33" fillId="23" fontId="34" numFmtId="0" xfId="0" applyAlignment="1" applyBorder="1" applyFill="1" applyFont="1">
      <alignment horizontal="center"/>
    </xf>
    <xf borderId="33" fillId="23" fontId="34" numFmtId="165" xfId="0" applyAlignment="1" applyBorder="1" applyFill="1" applyFont="1" applyNumberFormat="1">
      <alignment horizontal="right"/>
    </xf>
    <xf borderId="34" fillId="23" fontId="32" numFmtId="0" xfId="0" applyAlignment="1" applyBorder="1" applyFill="1" applyFont="1">
      <alignment horizontal="left"/>
    </xf>
    <xf borderId="34" fillId="24" fontId="35" numFmtId="0" xfId="0" applyAlignment="1" applyBorder="1" applyFill="1" applyFont="1">
      <alignment horizontal="center" vertical="center"/>
    </xf>
    <xf borderId="0" fillId="25" fontId="33" numFmtId="0" xfId="0" applyAlignment="1" applyFill="1" applyFont="1">
      <alignment horizontal="center" vertical="center"/>
    </xf>
    <xf borderId="0" fillId="22" fontId="33" numFmtId="0" xfId="0" applyAlignment="1" applyFill="1" applyFont="1">
      <alignment horizontal="center" vertical="center"/>
    </xf>
    <xf borderId="37" fillId="25" fontId="33" numFmtId="0" xfId="0" applyAlignment="1" applyBorder="1" applyFill="1" applyFont="1">
      <alignment horizontal="center" vertical="center"/>
    </xf>
    <xf borderId="38" fillId="18" fontId="21" numFmtId="0" xfId="0" applyAlignment="1" applyBorder="1" applyFill="1" applyFont="1">
      <alignment horizontal="center" vertical="center"/>
    </xf>
    <xf borderId="38" fillId="18" fontId="21" numFmtId="0" xfId="0" applyAlignment="1" applyBorder="1" applyFill="1" applyFont="1">
      <alignment horizontal="left" vertical="center"/>
    </xf>
    <xf borderId="38" fillId="18" fontId="21" numFmtId="3" xfId="0" applyAlignment="1" applyBorder="1" applyFill="1" applyFont="1" applyNumberFormat="1">
      <alignment horizontal="right" vertical="center"/>
    </xf>
    <xf borderId="38" fillId="18" fontId="34" numFmtId="169" xfId="0" applyAlignment="1" applyBorder="1" applyFill="1" applyFont="1" applyNumberFormat="1">
      <alignment horizontal="right" vertical="center"/>
    </xf>
    <xf borderId="38" fillId="18" fontId="21" numFmtId="165" xfId="0" applyAlignment="1" applyBorder="1" applyFill="1" applyFont="1" applyNumberFormat="1">
      <alignment horizontal="right" vertical="center"/>
    </xf>
    <xf borderId="39" fillId="18" fontId="23" numFmtId="169" xfId="0" applyAlignment="1" applyBorder="1" applyFill="1" applyFont="1" applyNumberFormat="1">
      <alignment horizontal="left" vertical="center"/>
    </xf>
    <xf borderId="38" fillId="0" fontId="21" numFmtId="170" xfId="0" applyAlignment="1" applyBorder="1" applyFont="1" applyNumberFormat="1">
      <alignment horizontal="center" vertical="center"/>
    </xf>
    <xf borderId="38" fillId="0" fontId="21" numFmtId="0" xfId="0" applyAlignment="1" applyBorder="1" applyFont="1">
      <alignment horizontal="left" vertical="center"/>
    </xf>
    <xf borderId="38" fillId="0" fontId="21" numFmtId="0" xfId="0" applyAlignment="1" applyBorder="1" applyFont="1">
      <alignment horizontal="center" vertical="center"/>
    </xf>
    <xf borderId="38" fillId="0" fontId="21" numFmtId="3" xfId="0" applyAlignment="1" applyBorder="1" applyFont="1" applyNumberFormat="1">
      <alignment horizontal="right" vertical="center"/>
    </xf>
    <xf borderId="38" fillId="0" fontId="34" numFmtId="169" xfId="0" applyAlignment="1" applyBorder="1" applyFont="1" applyNumberFormat="1">
      <alignment horizontal="right" vertical="center"/>
    </xf>
    <xf borderId="38" fillId="0" fontId="21" numFmtId="165" xfId="0" applyAlignment="1" applyBorder="1" applyFont="1" applyNumberFormat="1">
      <alignment horizontal="right" vertical="center"/>
    </xf>
    <xf borderId="39" fillId="0" fontId="23" numFmtId="169" xfId="0" applyAlignment="1" applyBorder="1" applyFont="1" applyNumberFormat="1">
      <alignment horizontal="left" vertical="center"/>
    </xf>
    <xf borderId="38" fillId="18" fontId="21" numFmtId="170" xfId="0" applyAlignment="1" applyBorder="1" applyFill="1" applyFont="1" applyNumberFormat="1">
      <alignment horizontal="center" vertical="center"/>
    </xf>
    <xf borderId="0" fillId="23" fontId="36" numFmtId="0" xfId="0" applyAlignment="1" applyFill="1" applyFont="1">
      <alignment horizontal="center" vertical="center"/>
    </xf>
    <xf borderId="0" fillId="23" fontId="36" numFmtId="169" xfId="0" applyAlignment="1" applyFill="1" applyFont="1" applyNumberFormat="1">
      <alignment horizontal="right" vertical="center"/>
    </xf>
    <xf borderId="0" fillId="23" fontId="21" numFmtId="0" xfId="0" applyAlignment="1" applyFill="1" applyFont="1">
      <alignment horizontal="center"/>
    </xf>
    <xf borderId="0" fillId="23" fontId="34" numFmtId="0" xfId="0" applyAlignment="1" applyFill="1" applyFont="1">
      <alignment horizontal="center" vertical="center"/>
    </xf>
    <xf borderId="0" fillId="23" fontId="36" numFmtId="165" xfId="0" applyAlignment="1" applyFill="1" applyFont="1" applyNumberFormat="1">
      <alignment horizontal="right" vertical="center"/>
    </xf>
    <xf borderId="37" fillId="23" fontId="23" numFmtId="169" xfId="0" applyAlignment="1" applyBorder="1" applyFill="1" applyFont="1" applyNumberFormat="1">
      <alignment horizontal="left" vertical="center"/>
    </xf>
  </cellXfs>
  <cellStyles count="1">
    <cellStyle xfId="0" name="Normal" builtinId="0"/>
  </cellStyles>
  <dxfs count="2">
    <dxf>
      <font>
        <b/>
        <color rgb="FF0C6626"/>
      </font>
      <fill>
        <patternFill patternType="solid">
          <fgColor rgb="FFE0F4E2"/>
          <bgColor rgb="FFE0F4E2"/>
        </patternFill>
      </fill>
      <border/>
    </dxf>
    <dxf>
      <font>
        <b/>
        <color rgb="FFA51414"/>
      </font>
      <fill>
        <patternFill patternType="solid">
          <fgColor rgb="FFFFE2E2"/>
          <bgColor rgb="FFFF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irbnb.com/l/mQTxMiRm?s=67&amp;unique_share_id=8fa864ca-6064-46e9-a940-e8086f154650" TargetMode="External"/><Relationship Id="rId10" Type="http://schemas.openxmlformats.org/officeDocument/2006/relationships/hyperlink" Target="https://www.booking.com/hotel/jp/seagaia-forest-condominiums.zh-tw.html?aid=356980&amp;label=mkt123sc-ee40e9f2-56c1-4fbe-9dbc-5e4206312bdb&amp;sid=fe68802388ef6e9a3ef775b48ba211c7&amp;all_sr_blocks=1531450201_428892348_5_2_0&amp;checkin=2026-12-24&amp;checkout=2026-12-25&amp;dest_id=-236950&amp;dest_type=city&amp;dist=0&amp;group_adults=5&amp;group_children=0&amp;hapos=1&amp;highlighted_blocks=1531450201_428892348_5_2_0&amp;hpos=1&amp;matching_block_id=1531450201_428892348_5_2_0&amp;no_rooms=1&amp;req_adults=5&amp;req_children=0&amp;room1=A%2CA%2CA%2CA%2CA&amp;sb_price_type=total&amp;sr_order=popularity&amp;sr_pri_blocks=1531450201_428892348_5_2_0__2300000&amp;srepoch=1790565233&amp;srpvid=887f16b616860e33&amp;type=total&amp;ucfs=1&amp;" TargetMode="External"/><Relationship Id="rId13" Type="http://schemas.openxmlformats.org/officeDocument/2006/relationships/hyperlink" Target="https://www.booking.com/index.zh-tw.html" TargetMode="External"/><Relationship Id="rId12" Type="http://schemas.openxmlformats.org/officeDocument/2006/relationships/hyperlink" Target="https://www.airbnb.com/l/mQTxMiRm?s=67&amp;unique_share_id=8fa864ca-6064-46e9-a940-e8086f154650" TargetMode="External"/><Relationship Id="rId1" Type="http://schemas.openxmlformats.org/officeDocument/2006/relationships/hyperlink" Target="https://maps.app.goo.gl/ZZntKVqEPt5qxpNs9?g_st=ic" TargetMode="External"/><Relationship Id="rId2" Type="http://schemas.openxmlformats.org/officeDocument/2006/relationships/hyperlink" Target="https://tabelog.com/en/miyazaki/A4501/A450101/45000447/" TargetMode="External"/><Relationship Id="rId3" Type="http://schemas.openxmlformats.org/officeDocument/2006/relationships/hyperlink" Target="https://tabelog.com/tw/kagoshima/A4601/A460101/46018191/" TargetMode="External"/><Relationship Id="rId4" Type="http://schemas.openxmlformats.org/officeDocument/2006/relationships/hyperlink" Target="https://maps.app.goo.gl/GhRXfo7M3z23T5kGA?g_st=ic" TargetMode="External"/><Relationship Id="rId9" Type="http://schemas.openxmlformats.org/officeDocument/2006/relationships/hyperlink" Target="https://maps.app.goo.gl/d2QXD1H8pomc7LJS7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tabelog.com/en/miyazaki/A4501/A450101/45009520" TargetMode="External"/><Relationship Id="rId6" Type="http://schemas.openxmlformats.org/officeDocument/2006/relationships/hyperlink" Target="https://tabelog.com/tw/kagoshima/A4601/A460101/46014701/" TargetMode="External"/><Relationship Id="rId7" Type="http://schemas.openxmlformats.org/officeDocument/2006/relationships/hyperlink" Target="https://tabelog.com/tw/kagoshima/A4601/A460101/46014561/" TargetMode="External"/><Relationship Id="rId8" Type="http://schemas.openxmlformats.org/officeDocument/2006/relationships/hyperlink" Target="https://www.booking.com/Share-CAhQJRJ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7.63"/>
    <col customWidth="1" min="2" max="8" width="27.6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3"/>
    </row>
    <row r="2" ht="21.0" customHeight="1">
      <c r="A2" s="4" t="s">
        <v>1</v>
      </c>
      <c r="B2" s="2"/>
      <c r="C2" s="2"/>
      <c r="D2" s="2"/>
      <c r="E2" s="2"/>
      <c r="F2" s="2"/>
      <c r="G2" s="2"/>
      <c r="H2" s="3"/>
    </row>
    <row r="3" ht="21.0" hidden="1" customHeight="1">
      <c r="A3" s="5" t="s">
        <v>2</v>
      </c>
      <c r="B3" s="3"/>
      <c r="C3" s="5" t="s">
        <v>3</v>
      </c>
      <c r="D3" s="3"/>
      <c r="E3" s="5" t="s">
        <v>4</v>
      </c>
      <c r="F3" s="3"/>
      <c r="G3" s="5" t="s">
        <v>5</v>
      </c>
      <c r="H3" s="3"/>
    </row>
    <row r="4" ht="19.5" hidden="1" customHeight="1">
      <c r="A4" s="6" t="s">
        <v>6</v>
      </c>
      <c r="B4" s="3"/>
      <c r="C4" s="6" t="s">
        <v>7</v>
      </c>
      <c r="D4" s="3"/>
      <c r="E4" s="6" t="s">
        <v>8</v>
      </c>
      <c r="F4" s="3"/>
      <c r="G4" s="6" t="s">
        <v>9</v>
      </c>
      <c r="H4" s="3"/>
    </row>
    <row r="5" ht="27.0" customHeight="1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</row>
    <row r="6" ht="15.75" customHeight="1">
      <c r="A6" s="8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</row>
    <row r="7" ht="15.75" customHeight="1">
      <c r="A7" s="8" t="s">
        <v>26</v>
      </c>
      <c r="B7" s="10" t="s">
        <v>27</v>
      </c>
      <c r="C7" s="10" t="s">
        <v>28</v>
      </c>
      <c r="D7" s="10" t="s">
        <v>29</v>
      </c>
      <c r="E7" s="10" t="s">
        <v>30</v>
      </c>
      <c r="F7" s="10" t="s">
        <v>31</v>
      </c>
      <c r="G7" s="10" t="s">
        <v>32</v>
      </c>
      <c r="H7" s="10" t="s">
        <v>33</v>
      </c>
    </row>
    <row r="8" ht="15.75" customHeight="1">
      <c r="A8" s="8" t="s">
        <v>34</v>
      </c>
      <c r="B8" s="11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11" t="s">
        <v>41</v>
      </c>
    </row>
    <row r="9" ht="15.75" customHeight="1">
      <c r="A9" s="8" t="s">
        <v>42</v>
      </c>
      <c r="B9" s="12" t="s">
        <v>43</v>
      </c>
      <c r="C9" s="12" t="s">
        <v>44</v>
      </c>
      <c r="D9" s="12" t="s">
        <v>45</v>
      </c>
      <c r="E9" s="12" t="s">
        <v>46</v>
      </c>
      <c r="F9" s="12" t="s">
        <v>47</v>
      </c>
      <c r="G9" s="12" t="s">
        <v>48</v>
      </c>
      <c r="H9" s="12" t="s">
        <v>49</v>
      </c>
    </row>
    <row r="10" ht="15.75" customHeight="1">
      <c r="A10" s="8" t="s">
        <v>50</v>
      </c>
      <c r="B10" s="13" t="s">
        <v>51</v>
      </c>
      <c r="C10" s="13" t="s">
        <v>52</v>
      </c>
      <c r="D10" s="13" t="s">
        <v>53</v>
      </c>
      <c r="E10" s="13" t="s">
        <v>54</v>
      </c>
      <c r="F10" s="13" t="s">
        <v>55</v>
      </c>
      <c r="G10" s="13" t="s">
        <v>56</v>
      </c>
      <c r="H10" s="13" t="s">
        <v>57</v>
      </c>
    </row>
    <row r="11" ht="15.75" customHeight="1">
      <c r="A11" s="8" t="s">
        <v>58</v>
      </c>
      <c r="B11" s="14" t="s">
        <v>59</v>
      </c>
      <c r="C11" s="14" t="s">
        <v>60</v>
      </c>
      <c r="D11" s="14" t="s">
        <v>61</v>
      </c>
      <c r="E11" s="14" t="s">
        <v>62</v>
      </c>
      <c r="F11" s="14" t="s">
        <v>63</v>
      </c>
      <c r="G11" s="14" t="s">
        <v>64</v>
      </c>
      <c r="H11" s="14" t="s">
        <v>65</v>
      </c>
    </row>
    <row r="12" ht="15.75" customHeight="1">
      <c r="A12" s="8" t="s">
        <v>66</v>
      </c>
      <c r="B12" s="13" t="s">
        <v>67</v>
      </c>
      <c r="C12" s="13" t="s">
        <v>68</v>
      </c>
      <c r="D12" s="13" t="s">
        <v>69</v>
      </c>
      <c r="E12" s="13" t="s">
        <v>70</v>
      </c>
      <c r="F12" s="13" t="s">
        <v>71</v>
      </c>
      <c r="G12" s="13" t="s">
        <v>72</v>
      </c>
      <c r="H12" s="13" t="s">
        <v>73</v>
      </c>
    </row>
    <row r="13" ht="15.75" customHeight="1">
      <c r="A13" s="8" t="s">
        <v>74</v>
      </c>
      <c r="B13" s="14" t="s">
        <v>75</v>
      </c>
      <c r="C13" s="14" t="s">
        <v>76</v>
      </c>
      <c r="D13" s="14" t="s">
        <v>77</v>
      </c>
      <c r="E13" s="14" t="s">
        <v>78</v>
      </c>
      <c r="F13" s="14" t="s">
        <v>79</v>
      </c>
      <c r="G13" s="14" t="s">
        <v>80</v>
      </c>
      <c r="H13" s="14" t="s">
        <v>81</v>
      </c>
    </row>
    <row r="14" ht="15.75" customHeight="1">
      <c r="A14" s="8"/>
      <c r="B14" s="15" t="s">
        <v>82</v>
      </c>
      <c r="C14" s="14"/>
      <c r="D14" s="15" t="s">
        <v>83</v>
      </c>
      <c r="E14" s="15" t="s">
        <v>84</v>
      </c>
      <c r="F14" s="14"/>
      <c r="G14" s="14"/>
      <c r="H14" s="14"/>
    </row>
    <row r="15" ht="15.75" customHeight="1">
      <c r="A15" s="8"/>
      <c r="B15" s="15" t="s">
        <v>85</v>
      </c>
      <c r="C15" s="14"/>
      <c r="D15" s="16" t="s">
        <v>86</v>
      </c>
      <c r="E15" s="15" t="s">
        <v>87</v>
      </c>
      <c r="F15" s="14"/>
      <c r="G15" s="14"/>
      <c r="H15" s="14"/>
    </row>
    <row r="16" ht="15.75" customHeight="1">
      <c r="A16" s="8"/>
      <c r="B16" s="14"/>
      <c r="C16" s="14"/>
      <c r="D16" s="14"/>
      <c r="E16" s="15" t="s">
        <v>88</v>
      </c>
      <c r="F16" s="14"/>
      <c r="G16" s="14"/>
      <c r="H16" s="14"/>
    </row>
    <row r="17" ht="15.75" customHeight="1">
      <c r="A17" s="8" t="s">
        <v>89</v>
      </c>
      <c r="B17" s="13" t="s">
        <v>90</v>
      </c>
      <c r="C17" s="13" t="s">
        <v>91</v>
      </c>
      <c r="D17" s="13" t="s">
        <v>92</v>
      </c>
      <c r="E17" s="13" t="s">
        <v>93</v>
      </c>
      <c r="F17" s="13" t="s">
        <v>94</v>
      </c>
      <c r="G17" s="13" t="s">
        <v>95</v>
      </c>
      <c r="H17" s="13" t="s">
        <v>96</v>
      </c>
    </row>
    <row r="18" ht="15.75" customHeight="1">
      <c r="A18" s="8" t="s">
        <v>97</v>
      </c>
      <c r="B18" s="17" t="s">
        <v>98</v>
      </c>
      <c r="C18" s="17" t="s">
        <v>99</v>
      </c>
      <c r="D18" s="17" t="s">
        <v>100</v>
      </c>
      <c r="E18" s="17" t="s">
        <v>101</v>
      </c>
      <c r="F18" s="17" t="s">
        <v>101</v>
      </c>
      <c r="G18" s="17" t="s">
        <v>98</v>
      </c>
      <c r="H18" s="17" t="s">
        <v>102</v>
      </c>
    </row>
    <row r="19" ht="15.75" customHeight="1">
      <c r="A19" s="8" t="s">
        <v>103</v>
      </c>
      <c r="B19" s="18" t="s">
        <v>104</v>
      </c>
      <c r="C19" s="18" t="s">
        <v>105</v>
      </c>
      <c r="D19" s="18" t="s">
        <v>106</v>
      </c>
      <c r="E19" s="18" t="s">
        <v>107</v>
      </c>
      <c r="F19" s="18" t="s">
        <v>108</v>
      </c>
      <c r="G19" s="18" t="s">
        <v>109</v>
      </c>
      <c r="H19" s="18" t="s">
        <v>110</v>
      </c>
    </row>
    <row r="20" ht="15.75" customHeight="1">
      <c r="A20" s="19" t="s">
        <v>111</v>
      </c>
      <c r="B20" s="20" t="s">
        <v>112</v>
      </c>
      <c r="C20" s="20" t="s">
        <v>113</v>
      </c>
      <c r="D20" s="20" t="s">
        <v>114</v>
      </c>
      <c r="E20" s="20" t="s">
        <v>115</v>
      </c>
      <c r="F20" s="20" t="s">
        <v>115</v>
      </c>
      <c r="G20" s="20" t="s">
        <v>116</v>
      </c>
      <c r="H20" s="21"/>
    </row>
    <row r="21" ht="15.75" customHeight="1">
      <c r="A21" s="22" t="s">
        <v>117</v>
      </c>
      <c r="B21" s="22"/>
      <c r="C21" s="22">
        <v>14206.0</v>
      </c>
      <c r="D21" s="22"/>
      <c r="E21" s="22"/>
      <c r="G21" s="22"/>
      <c r="H21" s="23">
        <f>sum(B21:G21)</f>
        <v>14206</v>
      </c>
    </row>
    <row r="22" ht="27.0" customHeight="1">
      <c r="A22" s="24" t="s">
        <v>118</v>
      </c>
      <c r="B22" s="2"/>
      <c r="C22" s="2"/>
      <c r="D22" s="2"/>
      <c r="E22" s="2"/>
      <c r="F22" s="2"/>
      <c r="G22" s="2"/>
      <c r="H22" s="3"/>
    </row>
    <row r="23" ht="15.75" customHeight="1">
      <c r="A23" s="25" t="s">
        <v>119</v>
      </c>
      <c r="B23" s="25" t="s">
        <v>120</v>
      </c>
      <c r="C23" s="25" t="s">
        <v>121</v>
      </c>
      <c r="D23" s="4" t="s">
        <v>122</v>
      </c>
      <c r="E23" s="2"/>
      <c r="F23" s="3"/>
      <c r="G23" s="4" t="s">
        <v>123</v>
      </c>
      <c r="H23" s="3"/>
    </row>
    <row r="24" ht="48.75" customHeight="1">
      <c r="A24" s="26" t="s">
        <v>124</v>
      </c>
      <c r="B24" s="27" t="s">
        <v>125</v>
      </c>
      <c r="C24" s="27" t="s">
        <v>126</v>
      </c>
      <c r="D24" s="28" t="s">
        <v>127</v>
      </c>
      <c r="E24" s="2"/>
      <c r="F24" s="3"/>
      <c r="G24" s="28" t="s">
        <v>128</v>
      </c>
      <c r="H24" s="3"/>
    </row>
    <row r="25" ht="48.75" customHeight="1">
      <c r="A25" s="29" t="s">
        <v>129</v>
      </c>
      <c r="B25" s="30" t="s">
        <v>130</v>
      </c>
      <c r="C25" s="30" t="s">
        <v>131</v>
      </c>
      <c r="D25" s="31" t="s">
        <v>132</v>
      </c>
      <c r="E25" s="2"/>
      <c r="F25" s="3"/>
      <c r="G25" s="31" t="s">
        <v>133</v>
      </c>
      <c r="H25" s="3"/>
    </row>
    <row r="26" ht="48.75" customHeight="1">
      <c r="A26" s="26" t="s">
        <v>134</v>
      </c>
      <c r="B26" s="27" t="s">
        <v>135</v>
      </c>
      <c r="C26" s="27" t="s">
        <v>136</v>
      </c>
      <c r="D26" s="28" t="s">
        <v>137</v>
      </c>
      <c r="E26" s="2"/>
      <c r="F26" s="3"/>
      <c r="G26" s="28" t="s">
        <v>138</v>
      </c>
      <c r="H26" s="3"/>
    </row>
    <row r="27" ht="48.75" customHeight="1">
      <c r="A27" s="29" t="s">
        <v>139</v>
      </c>
      <c r="B27" s="30" t="s">
        <v>140</v>
      </c>
      <c r="C27" s="30" t="s">
        <v>141</v>
      </c>
      <c r="D27" s="31" t="s">
        <v>142</v>
      </c>
      <c r="E27" s="2"/>
      <c r="F27" s="3"/>
      <c r="G27" s="31" t="s">
        <v>143</v>
      </c>
      <c r="H27" s="3"/>
    </row>
    <row r="28" ht="48.75" customHeight="1">
      <c r="A28" s="26" t="s">
        <v>144</v>
      </c>
      <c r="B28" s="27" t="s">
        <v>145</v>
      </c>
      <c r="C28" s="27" t="s">
        <v>146</v>
      </c>
      <c r="D28" s="28" t="s">
        <v>147</v>
      </c>
      <c r="E28" s="2"/>
      <c r="F28" s="3"/>
      <c r="G28" s="28" t="s">
        <v>148</v>
      </c>
      <c r="H28" s="3"/>
    </row>
    <row r="29" ht="15.75" customHeight="1">
      <c r="A29" s="22"/>
      <c r="B29" s="22"/>
      <c r="C29" s="22"/>
      <c r="D29" s="22"/>
      <c r="E29" s="22"/>
      <c r="F29" s="22"/>
      <c r="G29" s="22"/>
      <c r="H29" s="22"/>
    </row>
    <row r="30" ht="27.0" customHeight="1">
      <c r="A30" s="24" t="s">
        <v>149</v>
      </c>
      <c r="B30" s="2"/>
      <c r="C30" s="2"/>
      <c r="D30" s="2"/>
      <c r="E30" s="2"/>
      <c r="F30" s="2"/>
      <c r="G30" s="2"/>
      <c r="H30" s="3"/>
    </row>
    <row r="31" ht="15.75" customHeight="1">
      <c r="A31" s="25" t="s">
        <v>150</v>
      </c>
      <c r="B31" s="25" t="s">
        <v>151</v>
      </c>
      <c r="C31" s="25" t="s">
        <v>152</v>
      </c>
      <c r="D31" s="4" t="s">
        <v>153</v>
      </c>
      <c r="E31" s="2"/>
      <c r="F31" s="3"/>
      <c r="G31" s="4" t="s">
        <v>154</v>
      </c>
      <c r="H31" s="3"/>
    </row>
    <row r="32" ht="33.75" customHeight="1">
      <c r="A32" s="26" t="s">
        <v>155</v>
      </c>
      <c r="B32" s="27" t="s">
        <v>156</v>
      </c>
      <c r="C32" s="27" t="s">
        <v>157</v>
      </c>
      <c r="D32" s="32" t="s">
        <v>158</v>
      </c>
      <c r="E32" s="2"/>
      <c r="F32" s="3"/>
      <c r="G32" s="33" t="s">
        <v>159</v>
      </c>
      <c r="H32" s="3"/>
    </row>
    <row r="33" ht="33.75" customHeight="1">
      <c r="A33" s="29" t="s">
        <v>160</v>
      </c>
      <c r="B33" s="30" t="s">
        <v>161</v>
      </c>
      <c r="C33" s="30" t="s">
        <v>162</v>
      </c>
      <c r="D33" s="34" t="s">
        <v>163</v>
      </c>
      <c r="E33" s="2"/>
      <c r="F33" s="3"/>
      <c r="G33" s="35" t="s">
        <v>164</v>
      </c>
      <c r="H33" s="3"/>
    </row>
    <row r="34" ht="33.75" customHeight="1">
      <c r="A34" s="26" t="s">
        <v>165</v>
      </c>
      <c r="B34" s="27" t="s">
        <v>166</v>
      </c>
      <c r="C34" s="27" t="s">
        <v>167</v>
      </c>
      <c r="D34" s="32" t="s">
        <v>168</v>
      </c>
      <c r="E34" s="2"/>
      <c r="F34" s="3"/>
      <c r="G34" s="33" t="s">
        <v>164</v>
      </c>
      <c r="H34" s="3"/>
    </row>
    <row r="35" ht="33.75" customHeight="1">
      <c r="A35" s="29" t="s">
        <v>169</v>
      </c>
      <c r="B35" s="30" t="s">
        <v>170</v>
      </c>
      <c r="C35" s="30" t="s">
        <v>171</v>
      </c>
      <c r="D35" s="34" t="s">
        <v>172</v>
      </c>
      <c r="E35" s="2"/>
      <c r="F35" s="3"/>
      <c r="G35" s="35" t="s">
        <v>159</v>
      </c>
      <c r="H35" s="3"/>
    </row>
    <row r="36" ht="33.75" customHeight="1">
      <c r="A36" s="26" t="s">
        <v>173</v>
      </c>
      <c r="B36" s="27" t="s">
        <v>174</v>
      </c>
      <c r="C36" s="27" t="s">
        <v>175</v>
      </c>
      <c r="D36" s="32" t="s">
        <v>176</v>
      </c>
      <c r="E36" s="2"/>
      <c r="F36" s="3"/>
      <c r="G36" s="33" t="s">
        <v>177</v>
      </c>
      <c r="H36" s="3"/>
    </row>
    <row r="37" ht="33.75" customHeight="1">
      <c r="A37" s="29" t="s">
        <v>178</v>
      </c>
      <c r="B37" s="30" t="s">
        <v>179</v>
      </c>
      <c r="C37" s="30" t="s">
        <v>180</v>
      </c>
      <c r="D37" s="34" t="s">
        <v>181</v>
      </c>
      <c r="E37" s="2"/>
      <c r="F37" s="3"/>
      <c r="G37" s="35" t="s">
        <v>164</v>
      </c>
      <c r="H37" s="3"/>
    </row>
    <row r="38" ht="15.75" customHeight="1">
      <c r="A38" s="22"/>
      <c r="B38" s="22"/>
      <c r="C38" s="22"/>
      <c r="D38" s="22"/>
      <c r="E38" s="22"/>
      <c r="F38" s="22"/>
      <c r="G38" s="22"/>
      <c r="H38" s="2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H1"/>
    <mergeCell ref="A2:H2"/>
    <mergeCell ref="A3:B3"/>
    <mergeCell ref="C3:D3"/>
    <mergeCell ref="E3:F3"/>
    <mergeCell ref="G3:H3"/>
    <mergeCell ref="A4:B4"/>
    <mergeCell ref="G4:H4"/>
    <mergeCell ref="C4:D4"/>
    <mergeCell ref="E4:F4"/>
    <mergeCell ref="E21:F21"/>
    <mergeCell ref="A22:H22"/>
    <mergeCell ref="D23:F23"/>
    <mergeCell ref="G23:H23"/>
    <mergeCell ref="G24:H24"/>
    <mergeCell ref="D24:F24"/>
    <mergeCell ref="D25:F25"/>
    <mergeCell ref="G25:H25"/>
    <mergeCell ref="D26:F26"/>
    <mergeCell ref="G26:H26"/>
    <mergeCell ref="D27:F27"/>
    <mergeCell ref="G27:H27"/>
    <mergeCell ref="D28:F28"/>
    <mergeCell ref="G28:H28"/>
    <mergeCell ref="A30:H30"/>
    <mergeCell ref="D31:F31"/>
    <mergeCell ref="G31:H31"/>
    <mergeCell ref="D32:F32"/>
    <mergeCell ref="G32:H32"/>
    <mergeCell ref="D36:F36"/>
    <mergeCell ref="D37:F37"/>
    <mergeCell ref="G37:H37"/>
    <mergeCell ref="D33:F33"/>
    <mergeCell ref="G33:H33"/>
    <mergeCell ref="D34:F34"/>
    <mergeCell ref="G34:H34"/>
    <mergeCell ref="D35:F35"/>
    <mergeCell ref="G35:H35"/>
    <mergeCell ref="G36:H36"/>
  </mergeCells>
  <dataValidations>
    <dataValidation type="list" allowBlank="1" sqref="G32:G37">
      <formula1>"⏳ 待確認,⏳ 待預約,⏳ 待辦理,✅ 已完成"</formula1>
    </dataValidation>
  </dataValidations>
  <hyperlinks>
    <hyperlink r:id="rId1" ref="B14"/>
    <hyperlink r:id="rId2" ref="D14"/>
    <hyperlink r:id="rId3" ref="E14"/>
    <hyperlink r:id="rId4" ref="B15"/>
    <hyperlink r:id="rId5" ref="D15"/>
    <hyperlink r:id="rId6" ref="E15"/>
    <hyperlink r:id="rId7" ref="E16"/>
    <hyperlink r:id="rId8" ref="B20"/>
    <hyperlink r:id="rId9" ref="C20"/>
    <hyperlink r:id="rId10" ref="D20"/>
    <hyperlink r:id="rId11" ref="E20"/>
    <hyperlink r:id="rId12" ref="F20"/>
    <hyperlink r:id="rId13" ref="G20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7.0" topLeftCell="A18" activePane="bottomLeft" state="frozen"/>
      <selection activeCell="B19" sqref="B19" pane="bottomLeft"/>
    </sheetView>
  </sheetViews>
  <sheetFormatPr customHeight="1" defaultColWidth="12.63" defaultRowHeight="15.0"/>
  <cols>
    <col customWidth="1" min="1" max="1" width="3.13"/>
    <col customWidth="1" min="2" max="2" width="15.13"/>
    <col customWidth="1" min="3" max="3" width="30.13"/>
    <col customWidth="1" min="4" max="4" width="14.0"/>
    <col customWidth="1" min="5" max="5" width="12.0"/>
    <col customWidth="1" min="6" max="6" width="9.5"/>
    <col customWidth="1" min="7" max="9" width="13.88"/>
    <col customWidth="1" min="10" max="13" width="8.88"/>
    <col customWidth="1" min="14" max="14" width="12.38"/>
    <col customWidth="1" min="15" max="15" width="32.63"/>
    <col customWidth="1" min="16" max="16" width="10.13"/>
  </cols>
  <sheetData>
    <row r="1" ht="15.75" customHeight="1"/>
    <row r="2" ht="28.5" customHeight="1">
      <c r="B2" s="36" t="s">
        <v>182</v>
      </c>
      <c r="I2" s="37" t="s">
        <v>183</v>
      </c>
      <c r="K2" s="38">
        <f>IFERROR(__xludf.DUMMYFUNCTION("GOOGLEFINANCE(""CURRENCY:JPYTWD"")"),0.2077359)</f>
        <v>0.2077359</v>
      </c>
      <c r="L2" s="39" t="s">
        <v>184</v>
      </c>
      <c r="O2" s="40"/>
      <c r="P2" s="40"/>
    </row>
    <row r="3" ht="19.5" customHeight="1">
      <c r="B3" s="41" t="s">
        <v>185</v>
      </c>
      <c r="I3" s="42" t="s">
        <v>186</v>
      </c>
      <c r="O3" s="40"/>
      <c r="P3" s="40"/>
    </row>
    <row r="4" ht="7.5" customHeight="1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ht="18.0" customHeight="1">
      <c r="B5" s="43" t="s">
        <v>187</v>
      </c>
      <c r="C5" s="44"/>
      <c r="D5" s="45" t="s">
        <v>188</v>
      </c>
      <c r="E5" s="46" t="s">
        <v>189</v>
      </c>
      <c r="F5" s="47"/>
      <c r="G5" s="48" t="s">
        <v>190</v>
      </c>
      <c r="H5" s="49" t="s">
        <v>191</v>
      </c>
      <c r="I5" s="50"/>
      <c r="J5" s="50"/>
      <c r="K5" s="50"/>
      <c r="L5" s="50"/>
      <c r="M5" s="50"/>
      <c r="N5" s="51"/>
      <c r="O5" s="40"/>
      <c r="P5" s="40"/>
    </row>
    <row r="6" ht="18.0" customHeight="1">
      <c r="B6" s="52">
        <f>H42</f>
        <v>71250.06</v>
      </c>
      <c r="C6" s="53"/>
      <c r="D6" s="54">
        <f>SUMIF(F18:F41, "JPY", G18:G41)</f>
        <v>113201</v>
      </c>
      <c r="E6" s="55">
        <f>IFERROR(ROUND(B6/4, 0), 0)</f>
        <v>17813</v>
      </c>
      <c r="F6" s="56"/>
      <c r="G6" s="57" t="str">
        <f>COUNTA(C18:C41)&amp;" 筆"</f>
        <v>6 筆</v>
      </c>
      <c r="H6" s="58" t="s">
        <v>192</v>
      </c>
      <c r="I6" s="59"/>
      <c r="J6" s="59"/>
      <c r="K6" s="59"/>
      <c r="L6" s="59"/>
      <c r="M6" s="59"/>
      <c r="N6" s="60"/>
      <c r="O6" s="40"/>
      <c r="P6" s="40"/>
    </row>
    <row r="7" ht="18.0" customHeight="1">
      <c r="B7" s="61"/>
      <c r="C7" s="62"/>
      <c r="D7" s="63"/>
      <c r="E7" s="64"/>
      <c r="F7" s="65"/>
      <c r="G7" s="66"/>
      <c r="H7" s="67"/>
      <c r="I7" s="68"/>
      <c r="J7" s="68"/>
      <c r="K7" s="68"/>
      <c r="L7" s="68"/>
      <c r="M7" s="68"/>
      <c r="N7" s="69"/>
      <c r="O7" s="40"/>
      <c r="P7" s="40"/>
    </row>
    <row r="8" ht="21.0" customHeight="1">
      <c r="B8" s="70" t="s">
        <v>193</v>
      </c>
      <c r="H8" s="40"/>
      <c r="I8" s="70" t="s">
        <v>194</v>
      </c>
      <c r="O8" s="40"/>
      <c r="P8" s="40"/>
    </row>
    <row r="9" ht="15.75" customHeight="1">
      <c r="B9" s="71" t="s">
        <v>195</v>
      </c>
      <c r="C9" s="71" t="s">
        <v>196</v>
      </c>
      <c r="D9" s="71" t="s">
        <v>197</v>
      </c>
      <c r="E9" s="71" t="s">
        <v>198</v>
      </c>
      <c r="F9" s="71" t="s">
        <v>199</v>
      </c>
      <c r="G9" s="72" t="s">
        <v>200</v>
      </c>
      <c r="H9" s="73"/>
      <c r="I9" s="71" t="s">
        <v>201</v>
      </c>
      <c r="J9" s="71" t="s">
        <v>202</v>
      </c>
      <c r="K9" s="71" t="s">
        <v>203</v>
      </c>
      <c r="L9" s="72" t="s">
        <v>204</v>
      </c>
      <c r="M9" s="74"/>
      <c r="N9" s="73"/>
      <c r="O9" s="40"/>
      <c r="P9" s="40"/>
    </row>
    <row r="10" ht="15.75" customHeight="1">
      <c r="B10" s="75" t="s">
        <v>205</v>
      </c>
      <c r="C10" s="76">
        <f t="shared" ref="C10:C13" si="1">SUMIF($E$18:$E$99, B10, $H$18:$H$99)</f>
        <v>47775</v>
      </c>
      <c r="D10" s="76">
        <f>SUMIF(I$18:I$99, TRUE, $N$18:$N$99)</f>
        <v>20575.015</v>
      </c>
      <c r="E10" s="77">
        <f t="shared" ref="E10:E13" si="2">C10-D10</f>
        <v>27199.985</v>
      </c>
      <c r="F10" s="78" t="str">
        <f t="shared" ref="F10:F13" si="3">IF(E10&gt;0, "🟢 應收款（多墊）", IF(E10&lt;0, "🔴 應補款（少付）", "⚪ 結清"))</f>
        <v>🟢 應收款（多墊）</v>
      </c>
      <c r="G10" s="79" t="str">
        <f t="shared" ref="G10:G13" si="4">IF(E10&gt;0, "由其他人補給 "&amp;B10&amp;" NT$ "&amp;TEXT(E10, "#,##0"), IF(E10&lt;0, B10&amp;" 應支付 NT$ "&amp;TEXT(ABS(E10), "#,##0"), "已結清無須退補"))</f>
        <v>由其他人補給 阿純 NT$ 27,200</v>
      </c>
      <c r="H10" s="73"/>
      <c r="I10" s="78" t="s">
        <v>206</v>
      </c>
      <c r="J10" s="76">
        <f>SUMIF($D$18:$D$41, "交通", $H$18:$H$41)</f>
        <v>33150</v>
      </c>
      <c r="K10" s="80">
        <f t="shared" ref="K10:K15" si="5">IFERROR(J10/$B$6, 0)</f>
        <v>0.4652627661</v>
      </c>
      <c r="L10" s="81" t="s">
        <v>207</v>
      </c>
      <c r="M10" s="74"/>
      <c r="N10" s="73"/>
      <c r="O10" s="40"/>
      <c r="P10" s="40"/>
    </row>
    <row r="11" ht="15.75" customHeight="1">
      <c r="B11" s="75" t="s">
        <v>208</v>
      </c>
      <c r="C11" s="76">
        <f t="shared" si="1"/>
        <v>23475.06</v>
      </c>
      <c r="D11" s="76">
        <f>SUMIF(J$18:J$99, TRUE, $N$18:$N$99)</f>
        <v>9525.015</v>
      </c>
      <c r="E11" s="77">
        <f t="shared" si="2"/>
        <v>13950.045</v>
      </c>
      <c r="F11" s="78" t="str">
        <f t="shared" si="3"/>
        <v>🟢 應收款（多墊）</v>
      </c>
      <c r="G11" s="79" t="str">
        <f t="shared" si="4"/>
        <v>由其他人補給 阿嚕 NT$ 13,950</v>
      </c>
      <c r="H11" s="73"/>
      <c r="I11" s="78" t="s">
        <v>209</v>
      </c>
      <c r="J11" s="76">
        <f>SUMIF($D$18:$D$41, "住宿", $H$18:$H$41)</f>
        <v>38100.06</v>
      </c>
      <c r="K11" s="80">
        <f t="shared" si="5"/>
        <v>0.5347372339</v>
      </c>
      <c r="L11" s="81" t="s">
        <v>210</v>
      </c>
      <c r="M11" s="74"/>
      <c r="N11" s="73"/>
      <c r="O11" s="40"/>
      <c r="P11" s="40"/>
    </row>
    <row r="12" ht="15.75" customHeight="1">
      <c r="B12" s="82" t="s">
        <v>211</v>
      </c>
      <c r="C12" s="83">
        <f t="shared" si="1"/>
        <v>0</v>
      </c>
      <c r="D12" s="83">
        <f>SUMIF(K$18:K$99, TRUE, $N$18:$N$99)</f>
        <v>20575.015</v>
      </c>
      <c r="E12" s="84">
        <f t="shared" si="2"/>
        <v>-20575.015</v>
      </c>
      <c r="F12" s="85" t="str">
        <f t="shared" si="3"/>
        <v>🔴 應補款（少付）</v>
      </c>
      <c r="G12" s="86" t="str">
        <f t="shared" si="4"/>
        <v>阿姨 應支付 NT$ 20,575</v>
      </c>
      <c r="H12" s="73"/>
      <c r="I12" s="78" t="s">
        <v>212</v>
      </c>
      <c r="J12" s="76">
        <f>SUMIF($D$18:$D$41, "餐飲", $H$18:$H$41)</f>
        <v>0</v>
      </c>
      <c r="K12" s="80">
        <f t="shared" si="5"/>
        <v>0</v>
      </c>
      <c r="L12" s="81" t="s">
        <v>213</v>
      </c>
      <c r="M12" s="74"/>
      <c r="N12" s="73"/>
      <c r="O12" s="40"/>
      <c r="P12" s="40"/>
    </row>
    <row r="13" ht="15.75" customHeight="1">
      <c r="B13" s="82" t="s">
        <v>214</v>
      </c>
      <c r="C13" s="83">
        <f t="shared" si="1"/>
        <v>0</v>
      </c>
      <c r="D13" s="83">
        <f>SUMIF(L$18:L$99, TRUE, $N$18:$N$99)</f>
        <v>20575.015</v>
      </c>
      <c r="E13" s="84">
        <f t="shared" si="2"/>
        <v>-20575.015</v>
      </c>
      <c r="F13" s="85" t="str">
        <f t="shared" si="3"/>
        <v>🔴 應補款（少付）</v>
      </c>
      <c r="G13" s="86" t="str">
        <f t="shared" si="4"/>
        <v>姨丈 應支付 NT$ 20,575</v>
      </c>
      <c r="H13" s="73"/>
      <c r="I13" s="78" t="s">
        <v>215</v>
      </c>
      <c r="J13" s="76">
        <f>SUMIF($D$18:$D$41, "體驗門票", $H$18:$H$41)</f>
        <v>0</v>
      </c>
      <c r="K13" s="80">
        <f t="shared" si="5"/>
        <v>0</v>
      </c>
      <c r="L13" s="81" t="s">
        <v>216</v>
      </c>
      <c r="M13" s="74"/>
      <c r="N13" s="73"/>
      <c r="O13" s="40"/>
      <c r="P13" s="40"/>
    </row>
    <row r="14" ht="15.75" customHeight="1">
      <c r="B14" s="87" t="s">
        <v>217</v>
      </c>
      <c r="C14" s="88">
        <f t="shared" ref="C14:E14" si="6">SUM(C10:C13)</f>
        <v>71250.06</v>
      </c>
      <c r="D14" s="88">
        <f t="shared" si="6"/>
        <v>71250.06</v>
      </c>
      <c r="E14" s="88">
        <f t="shared" si="6"/>
        <v>0</v>
      </c>
      <c r="F14" s="87" t="str">
        <f>IF(ABS(E14)&lt;=5, "✅ 收支平衡", "⚠️ 差額未平")</f>
        <v>✅ 收支平衡</v>
      </c>
      <c r="G14" s="89" t="str">
        <f>IF(ABS(C14-D14)&lt;=5, "帳目完全平衡 (差額 0)", "存在未平差額，請檢查明細")</f>
        <v>帳目完全平衡 (差額 0)</v>
      </c>
      <c r="H14" s="73"/>
      <c r="I14" s="78" t="s">
        <v>218</v>
      </c>
      <c r="J14" s="76">
        <f>SUMIF($D$18:$D$41, "購物", $H$18:$H$41)</f>
        <v>0</v>
      </c>
      <c r="K14" s="80">
        <f t="shared" si="5"/>
        <v>0</v>
      </c>
      <c r="L14" s="81" t="s">
        <v>219</v>
      </c>
      <c r="M14" s="74"/>
      <c r="N14" s="73"/>
      <c r="O14" s="40"/>
      <c r="P14" s="40"/>
    </row>
    <row r="15" ht="15.75" customHeight="1">
      <c r="B15" s="90" t="s">
        <v>220</v>
      </c>
      <c r="C15" s="74"/>
      <c r="D15" s="74"/>
      <c r="E15" s="74"/>
      <c r="F15" s="74"/>
      <c r="G15" s="74"/>
      <c r="H15" s="73"/>
      <c r="I15" s="78" t="s">
        <v>221</v>
      </c>
      <c r="J15" s="76">
        <f>SUMIF($D$18:$D$41, "雜支", $H$18:$H$41)</f>
        <v>0</v>
      </c>
      <c r="K15" s="80">
        <f t="shared" si="5"/>
        <v>0</v>
      </c>
      <c r="L15" s="81" t="s">
        <v>222</v>
      </c>
      <c r="M15" s="74"/>
      <c r="N15" s="73"/>
      <c r="O15" s="40"/>
      <c r="P15" s="40"/>
    </row>
    <row r="16" ht="7.5" customHeight="1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ht="24.0" customHeight="1">
      <c r="B17" s="91" t="s">
        <v>223</v>
      </c>
      <c r="C17" s="91" t="s">
        <v>224</v>
      </c>
      <c r="D17" s="91" t="s">
        <v>201</v>
      </c>
      <c r="E17" s="91" t="s">
        <v>225</v>
      </c>
      <c r="F17" s="91" t="s">
        <v>226</v>
      </c>
      <c r="G17" s="91" t="s">
        <v>227</v>
      </c>
      <c r="H17" s="91" t="s">
        <v>228</v>
      </c>
      <c r="I17" s="92" t="str">
        <f>B10</f>
        <v>阿純</v>
      </c>
      <c r="J17" s="92" t="str">
        <f>B11</f>
        <v>阿嚕</v>
      </c>
      <c r="K17" s="92" t="str">
        <f>B12</f>
        <v>阿姨</v>
      </c>
      <c r="L17" s="92" t="str">
        <f>B13</f>
        <v>姨丈</v>
      </c>
      <c r="M17" s="91" t="s">
        <v>229</v>
      </c>
      <c r="N17" s="91" t="s">
        <v>230</v>
      </c>
      <c r="O17" s="93" t="s">
        <v>231</v>
      </c>
    </row>
    <row r="18" ht="15.75" customHeight="1">
      <c r="B18" s="94" t="s">
        <v>232</v>
      </c>
      <c r="C18" s="95" t="s">
        <v>233</v>
      </c>
      <c r="D18" s="94" t="s">
        <v>234</v>
      </c>
      <c r="E18" s="94" t="s">
        <v>205</v>
      </c>
      <c r="F18" s="94" t="s">
        <v>235</v>
      </c>
      <c r="G18" s="96">
        <f>11050*3</f>
        <v>33150</v>
      </c>
      <c r="H18" s="97">
        <f t="shared" ref="H18:H41" si="7">IF(F18="JPY", ROUND(G18*$K$2, 0), IF(F18="TWD", G18, 0))</f>
        <v>33150</v>
      </c>
      <c r="I18" s="94" t="b">
        <v>1</v>
      </c>
      <c r="J18" s="94" t="b">
        <v>0</v>
      </c>
      <c r="K18" s="94" t="b">
        <v>1</v>
      </c>
      <c r="L18" s="94" t="b">
        <v>1</v>
      </c>
      <c r="M18" s="94">
        <f t="shared" ref="M18:M41" si="8">COUNTIF(I18:L18, TRUE)</f>
        <v>3</v>
      </c>
      <c r="N18" s="98">
        <f t="shared" ref="N18:N41" si="9">IF(M18&gt;0, H18/M18, 0)</f>
        <v>11050</v>
      </c>
      <c r="O18" s="99" t="s">
        <v>236</v>
      </c>
    </row>
    <row r="19" ht="15.75" customHeight="1">
      <c r="B19" s="100">
        <v>46378.0</v>
      </c>
      <c r="C19" s="101" t="s">
        <v>112</v>
      </c>
      <c r="D19" s="102" t="s">
        <v>237</v>
      </c>
      <c r="E19" s="102" t="s">
        <v>208</v>
      </c>
      <c r="F19" s="102" t="s">
        <v>238</v>
      </c>
      <c r="G19" s="103">
        <v>15686.0</v>
      </c>
      <c r="H19" s="104">
        <f t="shared" si="7"/>
        <v>3259</v>
      </c>
      <c r="I19" s="102" t="b">
        <v>1</v>
      </c>
      <c r="J19" s="102" t="b">
        <v>1</v>
      </c>
      <c r="K19" s="102" t="b">
        <v>1</v>
      </c>
      <c r="L19" s="102" t="b">
        <v>1</v>
      </c>
      <c r="M19" s="102">
        <f t="shared" si="8"/>
        <v>4</v>
      </c>
      <c r="N19" s="105">
        <f t="shared" si="9"/>
        <v>814.75</v>
      </c>
      <c r="O19" s="106"/>
    </row>
    <row r="20" ht="15.75" customHeight="1">
      <c r="B20" s="100">
        <v>46379.0</v>
      </c>
      <c r="C20" s="101" t="s">
        <v>239</v>
      </c>
      <c r="D20" s="102" t="s">
        <v>237</v>
      </c>
      <c r="E20" s="102" t="s">
        <v>205</v>
      </c>
      <c r="F20" s="102" t="s">
        <v>238</v>
      </c>
      <c r="G20" s="103">
        <v>70400.0</v>
      </c>
      <c r="H20" s="104">
        <f t="shared" si="7"/>
        <v>14625</v>
      </c>
      <c r="I20" s="102" t="b">
        <v>1</v>
      </c>
      <c r="J20" s="102" t="b">
        <v>1</v>
      </c>
      <c r="K20" s="102" t="b">
        <v>1</v>
      </c>
      <c r="L20" s="102" t="b">
        <v>1</v>
      </c>
      <c r="M20" s="102">
        <f t="shared" si="8"/>
        <v>4</v>
      </c>
      <c r="N20" s="105">
        <f t="shared" si="9"/>
        <v>3656.25</v>
      </c>
      <c r="O20" s="106"/>
    </row>
    <row r="21" ht="15.75" customHeight="1">
      <c r="B21" s="100">
        <v>46380.0</v>
      </c>
      <c r="C21" s="101" t="s">
        <v>240</v>
      </c>
      <c r="D21" s="102" t="s">
        <v>237</v>
      </c>
      <c r="E21" s="102" t="s">
        <v>208</v>
      </c>
      <c r="F21" s="102" t="s">
        <v>235</v>
      </c>
      <c r="G21" s="103">
        <v>4046.0</v>
      </c>
      <c r="H21" s="104">
        <f t="shared" si="7"/>
        <v>4046</v>
      </c>
      <c r="I21" s="102" t="b">
        <v>1</v>
      </c>
      <c r="J21" s="102" t="b">
        <v>1</v>
      </c>
      <c r="K21" s="102" t="b">
        <v>1</v>
      </c>
      <c r="L21" s="102" t="b">
        <v>1</v>
      </c>
      <c r="M21" s="102">
        <f t="shared" si="8"/>
        <v>4</v>
      </c>
      <c r="N21" s="105">
        <f t="shared" si="9"/>
        <v>1011.5</v>
      </c>
      <c r="O21" s="106"/>
    </row>
    <row r="22" ht="15.75" customHeight="1">
      <c r="B22" s="94" t="s">
        <v>241</v>
      </c>
      <c r="C22" s="95" t="s">
        <v>115</v>
      </c>
      <c r="D22" s="94" t="s">
        <v>237</v>
      </c>
      <c r="E22" s="94" t="s">
        <v>208</v>
      </c>
      <c r="F22" s="94" t="s">
        <v>235</v>
      </c>
      <c r="G22" s="96">
        <v>10537.06</v>
      </c>
      <c r="H22" s="97">
        <f t="shared" si="7"/>
        <v>10537.06</v>
      </c>
      <c r="I22" s="94" t="b">
        <v>1</v>
      </c>
      <c r="J22" s="94" t="b">
        <v>1</v>
      </c>
      <c r="K22" s="94" t="b">
        <v>1</v>
      </c>
      <c r="L22" s="94" t="b">
        <v>1</v>
      </c>
      <c r="M22" s="94">
        <f t="shared" si="8"/>
        <v>4</v>
      </c>
      <c r="N22" s="98">
        <f t="shared" si="9"/>
        <v>2634.265</v>
      </c>
      <c r="O22" s="99"/>
    </row>
    <row r="23" ht="15.75" customHeight="1">
      <c r="B23" s="107">
        <v>46383.0</v>
      </c>
      <c r="C23" s="95" t="s">
        <v>116</v>
      </c>
      <c r="D23" s="94" t="s">
        <v>237</v>
      </c>
      <c r="E23" s="94" t="s">
        <v>208</v>
      </c>
      <c r="F23" s="94" t="s">
        <v>238</v>
      </c>
      <c r="G23" s="96">
        <v>27115.0</v>
      </c>
      <c r="H23" s="97">
        <f t="shared" si="7"/>
        <v>5633</v>
      </c>
      <c r="I23" s="94" t="b">
        <v>1</v>
      </c>
      <c r="J23" s="94" t="b">
        <v>1</v>
      </c>
      <c r="K23" s="94" t="b">
        <v>1</v>
      </c>
      <c r="L23" s="94" t="b">
        <v>1</v>
      </c>
      <c r="M23" s="94">
        <f t="shared" si="8"/>
        <v>4</v>
      </c>
      <c r="N23" s="98">
        <f t="shared" si="9"/>
        <v>1408.25</v>
      </c>
      <c r="O23" s="99"/>
    </row>
    <row r="24" ht="15.75" customHeight="1">
      <c r="B24" s="102"/>
      <c r="C24" s="101"/>
      <c r="D24" s="102"/>
      <c r="E24" s="102"/>
      <c r="F24" s="102"/>
      <c r="G24" s="103"/>
      <c r="H24" s="104">
        <f t="shared" si="7"/>
        <v>0</v>
      </c>
      <c r="I24" s="102" t="b">
        <v>0</v>
      </c>
      <c r="J24" s="102" t="b">
        <v>0</v>
      </c>
      <c r="K24" s="102" t="b">
        <v>0</v>
      </c>
      <c r="L24" s="102" t="b">
        <v>0</v>
      </c>
      <c r="M24" s="102">
        <f t="shared" si="8"/>
        <v>0</v>
      </c>
      <c r="N24" s="105">
        <f t="shared" si="9"/>
        <v>0</v>
      </c>
      <c r="O24" s="106"/>
    </row>
    <row r="25" ht="15.75" customHeight="1">
      <c r="B25" s="94"/>
      <c r="C25" s="95"/>
      <c r="D25" s="94"/>
      <c r="E25" s="94"/>
      <c r="F25" s="94"/>
      <c r="G25" s="96"/>
      <c r="H25" s="97">
        <f t="shared" si="7"/>
        <v>0</v>
      </c>
      <c r="I25" s="94" t="b">
        <v>0</v>
      </c>
      <c r="J25" s="94" t="b">
        <v>0</v>
      </c>
      <c r="K25" s="94" t="b">
        <v>0</v>
      </c>
      <c r="L25" s="94" t="b">
        <v>0</v>
      </c>
      <c r="M25" s="94">
        <f t="shared" si="8"/>
        <v>0</v>
      </c>
      <c r="N25" s="98">
        <f t="shared" si="9"/>
        <v>0</v>
      </c>
      <c r="O25" s="99"/>
    </row>
    <row r="26" ht="15.75" customHeight="1">
      <c r="B26" s="102"/>
      <c r="C26" s="101"/>
      <c r="D26" s="102"/>
      <c r="E26" s="102"/>
      <c r="F26" s="102"/>
      <c r="G26" s="103"/>
      <c r="H26" s="104">
        <f t="shared" si="7"/>
        <v>0</v>
      </c>
      <c r="I26" s="102" t="b">
        <v>0</v>
      </c>
      <c r="J26" s="102" t="b">
        <v>0</v>
      </c>
      <c r="K26" s="102" t="b">
        <v>0</v>
      </c>
      <c r="L26" s="102" t="b">
        <v>0</v>
      </c>
      <c r="M26" s="102">
        <f t="shared" si="8"/>
        <v>0</v>
      </c>
      <c r="N26" s="105">
        <f t="shared" si="9"/>
        <v>0</v>
      </c>
      <c r="O26" s="106"/>
    </row>
    <row r="27" ht="15.75" customHeight="1">
      <c r="B27" s="94"/>
      <c r="C27" s="95"/>
      <c r="D27" s="94"/>
      <c r="E27" s="94"/>
      <c r="F27" s="94"/>
      <c r="G27" s="96"/>
      <c r="H27" s="97">
        <f t="shared" si="7"/>
        <v>0</v>
      </c>
      <c r="I27" s="94" t="b">
        <v>0</v>
      </c>
      <c r="J27" s="94" t="b">
        <v>0</v>
      </c>
      <c r="K27" s="94" t="b">
        <v>0</v>
      </c>
      <c r="L27" s="94" t="b">
        <v>0</v>
      </c>
      <c r="M27" s="94">
        <f t="shared" si="8"/>
        <v>0</v>
      </c>
      <c r="N27" s="98">
        <f t="shared" si="9"/>
        <v>0</v>
      </c>
      <c r="O27" s="99"/>
    </row>
    <row r="28" ht="15.75" customHeight="1">
      <c r="B28" s="102"/>
      <c r="C28" s="101"/>
      <c r="D28" s="102"/>
      <c r="E28" s="102"/>
      <c r="F28" s="102"/>
      <c r="G28" s="103"/>
      <c r="H28" s="104">
        <f t="shared" si="7"/>
        <v>0</v>
      </c>
      <c r="I28" s="102" t="b">
        <v>0</v>
      </c>
      <c r="J28" s="102" t="b">
        <v>0</v>
      </c>
      <c r="K28" s="102" t="b">
        <v>0</v>
      </c>
      <c r="L28" s="102" t="b">
        <v>0</v>
      </c>
      <c r="M28" s="102">
        <f t="shared" si="8"/>
        <v>0</v>
      </c>
      <c r="N28" s="105">
        <f t="shared" si="9"/>
        <v>0</v>
      </c>
      <c r="O28" s="106"/>
    </row>
    <row r="29" ht="15.75" customHeight="1">
      <c r="B29" s="94"/>
      <c r="C29" s="95"/>
      <c r="D29" s="94"/>
      <c r="E29" s="94"/>
      <c r="F29" s="94"/>
      <c r="G29" s="96"/>
      <c r="H29" s="97">
        <f t="shared" si="7"/>
        <v>0</v>
      </c>
      <c r="I29" s="94" t="b">
        <v>0</v>
      </c>
      <c r="J29" s="94" t="b">
        <v>0</v>
      </c>
      <c r="K29" s="94" t="b">
        <v>0</v>
      </c>
      <c r="L29" s="94" t="b">
        <v>0</v>
      </c>
      <c r="M29" s="94">
        <f t="shared" si="8"/>
        <v>0</v>
      </c>
      <c r="N29" s="98">
        <f t="shared" si="9"/>
        <v>0</v>
      </c>
      <c r="O29" s="99"/>
    </row>
    <row r="30" ht="15.75" customHeight="1">
      <c r="B30" s="102"/>
      <c r="C30" s="101"/>
      <c r="D30" s="102"/>
      <c r="E30" s="102"/>
      <c r="F30" s="102"/>
      <c r="G30" s="103"/>
      <c r="H30" s="104">
        <f t="shared" si="7"/>
        <v>0</v>
      </c>
      <c r="I30" s="102" t="b">
        <v>0</v>
      </c>
      <c r="J30" s="102" t="b">
        <v>0</v>
      </c>
      <c r="K30" s="102" t="b">
        <v>0</v>
      </c>
      <c r="L30" s="102" t="b">
        <v>0</v>
      </c>
      <c r="M30" s="102">
        <f t="shared" si="8"/>
        <v>0</v>
      </c>
      <c r="N30" s="105">
        <f t="shared" si="9"/>
        <v>0</v>
      </c>
      <c r="O30" s="106"/>
    </row>
    <row r="31" ht="15.75" customHeight="1">
      <c r="B31" s="94"/>
      <c r="C31" s="95"/>
      <c r="D31" s="94"/>
      <c r="E31" s="94"/>
      <c r="F31" s="94"/>
      <c r="G31" s="96"/>
      <c r="H31" s="97">
        <f t="shared" si="7"/>
        <v>0</v>
      </c>
      <c r="I31" s="94" t="b">
        <v>0</v>
      </c>
      <c r="J31" s="94" t="b">
        <v>0</v>
      </c>
      <c r="K31" s="94" t="b">
        <v>0</v>
      </c>
      <c r="L31" s="94" t="b">
        <v>0</v>
      </c>
      <c r="M31" s="94">
        <f t="shared" si="8"/>
        <v>0</v>
      </c>
      <c r="N31" s="98">
        <f t="shared" si="9"/>
        <v>0</v>
      </c>
      <c r="O31" s="99"/>
    </row>
    <row r="32" ht="15.75" customHeight="1">
      <c r="B32" s="102"/>
      <c r="C32" s="101"/>
      <c r="D32" s="102"/>
      <c r="E32" s="102"/>
      <c r="F32" s="102"/>
      <c r="G32" s="103"/>
      <c r="H32" s="104">
        <f t="shared" si="7"/>
        <v>0</v>
      </c>
      <c r="I32" s="102" t="b">
        <v>0</v>
      </c>
      <c r="J32" s="102" t="b">
        <v>0</v>
      </c>
      <c r="K32" s="102" t="b">
        <v>0</v>
      </c>
      <c r="L32" s="102" t="b">
        <v>0</v>
      </c>
      <c r="M32" s="102">
        <f t="shared" si="8"/>
        <v>0</v>
      </c>
      <c r="N32" s="105">
        <f t="shared" si="9"/>
        <v>0</v>
      </c>
      <c r="O32" s="106"/>
    </row>
    <row r="33" ht="15.75" customHeight="1">
      <c r="B33" s="94"/>
      <c r="C33" s="95"/>
      <c r="D33" s="94"/>
      <c r="E33" s="94"/>
      <c r="F33" s="94"/>
      <c r="G33" s="96"/>
      <c r="H33" s="97">
        <f t="shared" si="7"/>
        <v>0</v>
      </c>
      <c r="I33" s="94" t="b">
        <v>0</v>
      </c>
      <c r="J33" s="94" t="b">
        <v>0</v>
      </c>
      <c r="K33" s="94" t="b">
        <v>0</v>
      </c>
      <c r="L33" s="94" t="b">
        <v>0</v>
      </c>
      <c r="M33" s="94">
        <f t="shared" si="8"/>
        <v>0</v>
      </c>
      <c r="N33" s="98">
        <f t="shared" si="9"/>
        <v>0</v>
      </c>
      <c r="O33" s="99"/>
    </row>
    <row r="34" ht="15.75" customHeight="1">
      <c r="B34" s="102"/>
      <c r="C34" s="101"/>
      <c r="D34" s="102"/>
      <c r="E34" s="102"/>
      <c r="F34" s="102"/>
      <c r="G34" s="103"/>
      <c r="H34" s="104">
        <f t="shared" si="7"/>
        <v>0</v>
      </c>
      <c r="I34" s="102" t="b">
        <v>0</v>
      </c>
      <c r="J34" s="102" t="b">
        <v>0</v>
      </c>
      <c r="K34" s="102" t="b">
        <v>0</v>
      </c>
      <c r="L34" s="102" t="b">
        <v>0</v>
      </c>
      <c r="M34" s="102">
        <f t="shared" si="8"/>
        <v>0</v>
      </c>
      <c r="N34" s="105">
        <f t="shared" si="9"/>
        <v>0</v>
      </c>
      <c r="O34" s="106"/>
    </row>
    <row r="35" ht="15.75" customHeight="1">
      <c r="B35" s="94"/>
      <c r="C35" s="95"/>
      <c r="D35" s="94"/>
      <c r="E35" s="94"/>
      <c r="F35" s="94"/>
      <c r="G35" s="96"/>
      <c r="H35" s="97">
        <f t="shared" si="7"/>
        <v>0</v>
      </c>
      <c r="I35" s="94" t="b">
        <v>0</v>
      </c>
      <c r="J35" s="94" t="b">
        <v>0</v>
      </c>
      <c r="K35" s="94" t="b">
        <v>0</v>
      </c>
      <c r="L35" s="94" t="b">
        <v>0</v>
      </c>
      <c r="M35" s="94">
        <f t="shared" si="8"/>
        <v>0</v>
      </c>
      <c r="N35" s="98">
        <f t="shared" si="9"/>
        <v>0</v>
      </c>
      <c r="O35" s="99"/>
    </row>
    <row r="36" ht="15.75" customHeight="1">
      <c r="B36" s="102"/>
      <c r="C36" s="101"/>
      <c r="D36" s="102"/>
      <c r="E36" s="102"/>
      <c r="F36" s="102"/>
      <c r="G36" s="103"/>
      <c r="H36" s="104">
        <f t="shared" si="7"/>
        <v>0</v>
      </c>
      <c r="I36" s="102" t="b">
        <v>0</v>
      </c>
      <c r="J36" s="102" t="b">
        <v>0</v>
      </c>
      <c r="K36" s="102" t="b">
        <v>0</v>
      </c>
      <c r="L36" s="102" t="b">
        <v>0</v>
      </c>
      <c r="M36" s="102">
        <f t="shared" si="8"/>
        <v>0</v>
      </c>
      <c r="N36" s="105">
        <f t="shared" si="9"/>
        <v>0</v>
      </c>
      <c r="O36" s="106"/>
    </row>
    <row r="37" ht="15.75" customHeight="1">
      <c r="B37" s="94"/>
      <c r="C37" s="95"/>
      <c r="D37" s="94"/>
      <c r="E37" s="94"/>
      <c r="F37" s="94"/>
      <c r="G37" s="96"/>
      <c r="H37" s="97">
        <f t="shared" si="7"/>
        <v>0</v>
      </c>
      <c r="I37" s="94" t="b">
        <v>0</v>
      </c>
      <c r="J37" s="94" t="b">
        <v>0</v>
      </c>
      <c r="K37" s="94" t="b">
        <v>0</v>
      </c>
      <c r="L37" s="94" t="b">
        <v>0</v>
      </c>
      <c r="M37" s="94">
        <f t="shared" si="8"/>
        <v>0</v>
      </c>
      <c r="N37" s="98">
        <f t="shared" si="9"/>
        <v>0</v>
      </c>
      <c r="O37" s="99"/>
    </row>
    <row r="38" ht="15.75" customHeight="1">
      <c r="B38" s="102"/>
      <c r="C38" s="101"/>
      <c r="D38" s="102"/>
      <c r="E38" s="102"/>
      <c r="F38" s="102"/>
      <c r="G38" s="103"/>
      <c r="H38" s="104">
        <f t="shared" si="7"/>
        <v>0</v>
      </c>
      <c r="I38" s="102" t="b">
        <v>0</v>
      </c>
      <c r="J38" s="102" t="b">
        <v>0</v>
      </c>
      <c r="K38" s="102" t="b">
        <v>0</v>
      </c>
      <c r="L38" s="102" t="b">
        <v>0</v>
      </c>
      <c r="M38" s="102">
        <f t="shared" si="8"/>
        <v>0</v>
      </c>
      <c r="N38" s="105">
        <f t="shared" si="9"/>
        <v>0</v>
      </c>
      <c r="O38" s="106"/>
    </row>
    <row r="39" ht="15.75" customHeight="1">
      <c r="B39" s="94"/>
      <c r="C39" s="95"/>
      <c r="D39" s="94"/>
      <c r="E39" s="94"/>
      <c r="F39" s="94"/>
      <c r="G39" s="96"/>
      <c r="H39" s="97">
        <f t="shared" si="7"/>
        <v>0</v>
      </c>
      <c r="I39" s="94" t="b">
        <v>0</v>
      </c>
      <c r="J39" s="94" t="b">
        <v>0</v>
      </c>
      <c r="K39" s="94" t="b">
        <v>0</v>
      </c>
      <c r="L39" s="94" t="b">
        <v>0</v>
      </c>
      <c r="M39" s="94">
        <f t="shared" si="8"/>
        <v>0</v>
      </c>
      <c r="N39" s="98">
        <f t="shared" si="9"/>
        <v>0</v>
      </c>
      <c r="O39" s="99"/>
    </row>
    <row r="40" ht="15.75" customHeight="1">
      <c r="B40" s="102"/>
      <c r="C40" s="101"/>
      <c r="D40" s="102"/>
      <c r="E40" s="102"/>
      <c r="F40" s="102"/>
      <c r="G40" s="103"/>
      <c r="H40" s="104">
        <f t="shared" si="7"/>
        <v>0</v>
      </c>
      <c r="I40" s="102" t="b">
        <v>0</v>
      </c>
      <c r="J40" s="102" t="b">
        <v>0</v>
      </c>
      <c r="K40" s="102" t="b">
        <v>0</v>
      </c>
      <c r="L40" s="102" t="b">
        <v>0</v>
      </c>
      <c r="M40" s="102">
        <f t="shared" si="8"/>
        <v>0</v>
      </c>
      <c r="N40" s="105">
        <f t="shared" si="9"/>
        <v>0</v>
      </c>
      <c r="O40" s="106"/>
    </row>
    <row r="41" ht="15.75" customHeight="1">
      <c r="B41" s="94"/>
      <c r="C41" s="95"/>
      <c r="D41" s="94"/>
      <c r="E41" s="94"/>
      <c r="F41" s="94"/>
      <c r="G41" s="96"/>
      <c r="H41" s="97">
        <f t="shared" si="7"/>
        <v>0</v>
      </c>
      <c r="I41" s="94" t="b">
        <v>0</v>
      </c>
      <c r="J41" s="94" t="b">
        <v>0</v>
      </c>
      <c r="K41" s="94" t="b">
        <v>0</v>
      </c>
      <c r="L41" s="94" t="b">
        <v>0</v>
      </c>
      <c r="M41" s="94">
        <f t="shared" si="8"/>
        <v>0</v>
      </c>
      <c r="N41" s="98">
        <f t="shared" si="9"/>
        <v>0</v>
      </c>
      <c r="O41" s="99"/>
    </row>
    <row r="42" ht="15.75" customHeight="1">
      <c r="B42" s="108" t="s">
        <v>242</v>
      </c>
      <c r="H42" s="109">
        <f>SUM(H18:H41)</f>
        <v>71250.06</v>
      </c>
      <c r="I42" s="110" t="s">
        <v>243</v>
      </c>
      <c r="J42" s="110" t="s">
        <v>243</v>
      </c>
      <c r="K42" s="110" t="s">
        <v>243</v>
      </c>
      <c r="L42" s="110" t="s">
        <v>243</v>
      </c>
      <c r="M42" s="111" t="s">
        <v>244</v>
      </c>
      <c r="N42" s="112">
        <f>SUM(N18:N41)</f>
        <v>20575.015</v>
      </c>
      <c r="O42" s="113" t="s">
        <v>245</v>
      </c>
    </row>
    <row r="43" ht="15.75" customHeight="1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2:H2"/>
    <mergeCell ref="I2:J2"/>
    <mergeCell ref="L2:N2"/>
    <mergeCell ref="B3:H3"/>
    <mergeCell ref="I3:N3"/>
    <mergeCell ref="E5:F5"/>
    <mergeCell ref="H5:N5"/>
    <mergeCell ref="L9:N9"/>
    <mergeCell ref="L10:N10"/>
    <mergeCell ref="L11:N11"/>
    <mergeCell ref="L12:N12"/>
    <mergeCell ref="L13:N13"/>
    <mergeCell ref="L14:N14"/>
    <mergeCell ref="L15:N15"/>
    <mergeCell ref="B5:C5"/>
    <mergeCell ref="B6:C7"/>
    <mergeCell ref="D6:D7"/>
    <mergeCell ref="E6:F7"/>
    <mergeCell ref="H6:N7"/>
    <mergeCell ref="B8:G8"/>
    <mergeCell ref="I8:N8"/>
    <mergeCell ref="B15:H15"/>
    <mergeCell ref="B42:G42"/>
    <mergeCell ref="G6:G7"/>
    <mergeCell ref="G9:H9"/>
    <mergeCell ref="G10:H10"/>
    <mergeCell ref="G11:H11"/>
    <mergeCell ref="G12:H12"/>
    <mergeCell ref="G13:H13"/>
    <mergeCell ref="G14:H14"/>
  </mergeCells>
  <conditionalFormatting sqref="E10:E14">
    <cfRule type="cellIs" dxfId="0" priority="1" stopIfTrue="1" operator="greaterThan">
      <formula>0</formula>
    </cfRule>
  </conditionalFormatting>
  <conditionalFormatting sqref="E10:E14">
    <cfRule type="cellIs" dxfId="1" priority="2" stopIfTrue="1" operator="lessThan">
      <formula>0</formula>
    </cfRule>
  </conditionalFormatting>
  <dataValidations>
    <dataValidation type="list" allowBlank="1" sqref="F18:F41">
      <formula1>"JPY,TWD"</formula1>
    </dataValidation>
    <dataValidation type="list" allowBlank="1" sqref="D18:D41">
      <formula1>"交通,住宿,餐飲,體驗門票,購物,雜支"</formula1>
    </dataValidation>
    <dataValidation type="list" allowBlank="1" showErrorMessage="1" sqref="E18:E41">
      <formula1>"阿純,阿嚕,媽媽,阿姨,姨丈"</formula1>
    </dataValidation>
  </dataValidations>
  <drawing r:id="rId1"/>
</worksheet>
</file>